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0633_EDS_GIPF_DECS\CS-CIVIL &amp; STRUCTURAL\WORKING DATA\3.) Working\2.UTILITY AREA\ION EXCHANGE BUILDING\EXCELS\"/>
    </mc:Choice>
  </mc:AlternateContent>
  <xr:revisionPtr revIDLastSave="0" documentId="13_ncr:1_{241EA736-075A-4313-9EB5-189EB9EED317}" xr6:coauthVersionLast="47" xr6:coauthVersionMax="47" xr10:uidLastSave="{00000000-0000-0000-0000-000000000000}"/>
  <bookViews>
    <workbookView xWindow="-120" yWindow="-120" windowWidth="29040" windowHeight="15720" xr2:uid="{C72B5C52-97FA-4E71-B2CD-4E45A9DCF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F54" i="1" s="1"/>
  <c r="F52" i="1" s="1"/>
  <c r="Q53" i="1"/>
  <c r="L53" i="1"/>
  <c r="G53" i="1"/>
  <c r="C53" i="1"/>
  <c r="D52" i="1" s="1"/>
  <c r="A52" i="1"/>
  <c r="I54" i="1" s="1"/>
  <c r="I52" i="1" s="1"/>
  <c r="H42" i="1"/>
  <c r="R41" i="1"/>
  <c r="R57" i="1" s="1"/>
  <c r="M41" i="1"/>
  <c r="M57" i="1" s="1"/>
  <c r="M58" i="1" s="1"/>
  <c r="C41" i="1"/>
  <c r="S38" i="1"/>
  <c r="S54" i="1" s="1"/>
  <c r="P38" i="1"/>
  <c r="P54" i="1" s="1"/>
  <c r="N38" i="1"/>
  <c r="N54" i="1" s="1"/>
  <c r="N52" i="1" s="1"/>
  <c r="K38" i="1"/>
  <c r="K54" i="1" s="1"/>
  <c r="K52" i="1" s="1"/>
  <c r="I38" i="1"/>
  <c r="F38" i="1"/>
  <c r="Q37" i="1"/>
  <c r="R33" i="1" s="1"/>
  <c r="L37" i="1"/>
  <c r="G37" i="1"/>
  <c r="F36" i="1" s="1"/>
  <c r="C37" i="1"/>
  <c r="A38" i="1" s="1"/>
  <c r="D36" i="1"/>
  <c r="H33" i="1"/>
  <c r="H49" i="1" s="1"/>
  <c r="R32" i="1"/>
  <c r="R48" i="1" s="1"/>
  <c r="M32" i="1"/>
  <c r="M33" i="1" s="1"/>
  <c r="B25" i="1"/>
  <c r="B24" i="1"/>
  <c r="B10" i="1"/>
  <c r="B14" i="1" s="1"/>
  <c r="B6" i="1"/>
  <c r="I36" i="1" l="1"/>
  <c r="S52" i="1"/>
  <c r="K36" i="1"/>
  <c r="P52" i="1"/>
  <c r="R58" i="1"/>
  <c r="H41" i="1"/>
  <c r="R49" i="1"/>
  <c r="C34" i="1"/>
  <c r="P36" i="1"/>
  <c r="N36" i="1"/>
  <c r="H50" i="1"/>
  <c r="C49" i="1"/>
  <c r="C50" i="1" s="1"/>
  <c r="A54" i="1"/>
  <c r="H58" i="1"/>
  <c r="H34" i="1"/>
  <c r="M42" i="1"/>
  <c r="M48" i="1"/>
  <c r="M49" i="1" s="1"/>
  <c r="S36" i="1"/>
  <c r="R42" i="1"/>
  <c r="H57" i="1" l="1"/>
  <c r="C58" i="1"/>
  <c r="C57" i="1" s="1"/>
</calcChain>
</file>

<file path=xl/sharedStrings.xml><?xml version="1.0" encoding="utf-8"?>
<sst xmlns="http://schemas.openxmlformats.org/spreadsheetml/2006/main" count="141" uniqueCount="136">
  <si>
    <t>WIND LOAD CALCULATION</t>
  </si>
  <si>
    <t>Note:</t>
  </si>
  <si>
    <t>Put value on yellow background cell</t>
  </si>
  <si>
    <t>H</t>
  </si>
  <si>
    <t>Height of structure</t>
  </si>
  <si>
    <r>
      <t>Design wind speed (V</t>
    </r>
    <r>
      <rPr>
        <b/>
        <vertAlign val="subscript"/>
        <sz val="11"/>
        <color rgb="FF002060"/>
        <rFont val="Aptos Narrow"/>
        <family val="2"/>
        <scheme val="minor"/>
      </rPr>
      <t>Z</t>
    </r>
    <r>
      <rPr>
        <b/>
        <sz val="11"/>
        <color rgb="FF002060"/>
        <rFont val="Aptos Narrow"/>
        <family val="2"/>
        <scheme val="minor"/>
      </rPr>
      <t>) = V</t>
    </r>
    <r>
      <rPr>
        <b/>
        <vertAlign val="subscript"/>
        <sz val="11"/>
        <color rgb="FF002060"/>
        <rFont val="Aptos Narrow"/>
        <family val="2"/>
        <scheme val="minor"/>
      </rPr>
      <t>b</t>
    </r>
    <r>
      <rPr>
        <b/>
        <sz val="11"/>
        <color rgb="FF002060"/>
        <rFont val="Aptos Narrow"/>
        <family val="2"/>
        <scheme val="minor"/>
      </rPr>
      <t xml:space="preserve"> x K</t>
    </r>
    <r>
      <rPr>
        <b/>
        <vertAlign val="subscript"/>
        <sz val="11"/>
        <color rgb="FF002060"/>
        <rFont val="Aptos Narrow"/>
        <family val="2"/>
        <scheme val="minor"/>
      </rPr>
      <t>1</t>
    </r>
    <r>
      <rPr>
        <b/>
        <sz val="11"/>
        <color rgb="FF002060"/>
        <rFont val="Aptos Narrow"/>
        <family val="2"/>
        <scheme val="minor"/>
      </rPr>
      <t xml:space="preserve"> x K</t>
    </r>
    <r>
      <rPr>
        <b/>
        <vertAlign val="subscript"/>
        <sz val="11"/>
        <color rgb="FF002060"/>
        <rFont val="Aptos Narrow"/>
        <family val="2"/>
        <scheme val="minor"/>
      </rPr>
      <t>2</t>
    </r>
    <r>
      <rPr>
        <b/>
        <sz val="11"/>
        <color rgb="FF002060"/>
        <rFont val="Aptos Narrow"/>
        <family val="2"/>
        <scheme val="minor"/>
      </rPr>
      <t xml:space="preserve"> x K</t>
    </r>
    <r>
      <rPr>
        <b/>
        <vertAlign val="subscript"/>
        <sz val="11"/>
        <color rgb="FF002060"/>
        <rFont val="Aptos Narrow"/>
        <family val="2"/>
        <scheme val="minor"/>
      </rPr>
      <t>3</t>
    </r>
    <r>
      <rPr>
        <b/>
        <sz val="11"/>
        <color rgb="FF002060"/>
        <rFont val="Aptos Narrow"/>
        <family val="2"/>
        <scheme val="minor"/>
      </rPr>
      <t xml:space="preserve"> x K</t>
    </r>
    <r>
      <rPr>
        <b/>
        <vertAlign val="subscript"/>
        <sz val="11"/>
        <color rgb="FF002060"/>
        <rFont val="Aptos Narrow"/>
        <family val="2"/>
        <scheme val="minor"/>
      </rPr>
      <t>4</t>
    </r>
  </si>
  <si>
    <t>W</t>
  </si>
  <si>
    <t>Width of structure</t>
  </si>
  <si>
    <t>City/Town</t>
  </si>
  <si>
    <t>BasicWindSpeed(m/s)</t>
  </si>
  <si>
    <t>DesignLife</t>
  </si>
  <si>
    <t>Type</t>
  </si>
  <si>
    <t>L</t>
  </si>
  <si>
    <t>Length of structure</t>
  </si>
  <si>
    <t>Agra</t>
  </si>
  <si>
    <t>General</t>
  </si>
  <si>
    <r>
      <t>V</t>
    </r>
    <r>
      <rPr>
        <b/>
        <vertAlign val="subscript"/>
        <sz val="11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=</t>
    </r>
  </si>
  <si>
    <t>m/s</t>
  </si>
  <si>
    <t>Ahmedabad</t>
  </si>
  <si>
    <t>Temporary</t>
  </si>
  <si>
    <t>Ajmer</t>
  </si>
  <si>
    <t>Lowhazard</t>
  </si>
  <si>
    <r>
      <t>Wind pressure (P</t>
    </r>
    <r>
      <rPr>
        <b/>
        <vertAlign val="subscript"/>
        <sz val="11"/>
        <color rgb="FF002060"/>
        <rFont val="Aptos Narrow"/>
        <family val="2"/>
        <scheme val="minor"/>
      </rPr>
      <t>Z</t>
    </r>
    <r>
      <rPr>
        <b/>
        <sz val="11"/>
        <color rgb="FF002060"/>
        <rFont val="Aptos Narrow"/>
        <family val="2"/>
        <scheme val="minor"/>
      </rPr>
      <t>) = 0.6 x V</t>
    </r>
    <r>
      <rPr>
        <b/>
        <vertAlign val="subscript"/>
        <sz val="11"/>
        <color rgb="FF002060"/>
        <rFont val="Aptos Narrow"/>
        <family val="2"/>
        <scheme val="minor"/>
      </rPr>
      <t>Z</t>
    </r>
    <r>
      <rPr>
        <b/>
        <vertAlign val="superscript"/>
        <sz val="11"/>
        <color rgb="FF002060"/>
        <rFont val="Aptos Narrow"/>
        <family val="2"/>
        <scheme val="minor"/>
      </rPr>
      <t>2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</si>
  <si>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</t>
    </r>
  </si>
  <si>
    <t>Design wind speed as per Appendix A IS: 875 (Part-3)</t>
  </si>
  <si>
    <t>Almora</t>
  </si>
  <si>
    <t>Important</t>
  </si>
  <si>
    <r>
      <t>K</t>
    </r>
    <r>
      <rPr>
        <vertAlign val="subscript"/>
        <sz val="11"/>
        <color theme="1"/>
        <rFont val="Aptos Narrow"/>
        <family val="2"/>
        <scheme val="minor"/>
      </rPr>
      <t>1</t>
    </r>
  </si>
  <si>
    <t>Risk Coefficient as per Table 1 IS: 875 (Part-3) 2015</t>
  </si>
  <si>
    <t>Amritsar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</si>
  <si>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Z</t>
    </r>
    <r>
      <rPr>
        <b/>
        <sz val="11"/>
        <color theme="1"/>
        <rFont val="Aptos Narrow"/>
        <family val="2"/>
        <scheme val="minor"/>
      </rPr>
      <t xml:space="preserve"> =</t>
    </r>
  </si>
  <si>
    <r>
      <t>kN/m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</si>
  <si>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/>
    </r>
  </si>
  <si>
    <t>Terrain category factor as per Table 2 IS: 875 (Part-3) 2015</t>
  </si>
  <si>
    <t>Asansol</t>
  </si>
  <si>
    <r>
      <t>K</t>
    </r>
    <r>
      <rPr>
        <vertAlign val="sub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/>
    </r>
  </si>
  <si>
    <t>Topography factor as per Cl.6.3.3. IS: 875 (Part-3) 2015</t>
  </si>
  <si>
    <t>Aurangabad</t>
  </si>
  <si>
    <r>
      <t>Design wind pressure (P</t>
    </r>
    <r>
      <rPr>
        <b/>
        <vertAlign val="subscript"/>
        <sz val="11"/>
        <color rgb="FF002060"/>
        <rFont val="Aptos Narrow"/>
        <family val="2"/>
        <scheme val="minor"/>
      </rPr>
      <t>d</t>
    </r>
    <r>
      <rPr>
        <b/>
        <sz val="11"/>
        <color rgb="FF002060"/>
        <rFont val="Aptos Narrow"/>
        <family val="2"/>
        <scheme val="minor"/>
      </rPr>
      <t>) = K</t>
    </r>
    <r>
      <rPr>
        <b/>
        <vertAlign val="subscript"/>
        <sz val="11"/>
        <color rgb="FF002060"/>
        <rFont val="Aptos Narrow"/>
        <family val="2"/>
        <scheme val="minor"/>
      </rPr>
      <t>d</t>
    </r>
    <r>
      <rPr>
        <b/>
        <sz val="11"/>
        <color rgb="FF002060"/>
        <rFont val="Aptos Narrow"/>
        <family val="2"/>
        <scheme val="minor"/>
      </rPr>
      <t xml:space="preserve"> x K</t>
    </r>
    <r>
      <rPr>
        <b/>
        <vertAlign val="subscript"/>
        <sz val="11"/>
        <color rgb="FF002060"/>
        <rFont val="Aptos Narrow"/>
        <family val="2"/>
        <scheme val="minor"/>
      </rPr>
      <t>a</t>
    </r>
    <r>
      <rPr>
        <b/>
        <sz val="11"/>
        <color rgb="FF002060"/>
        <rFont val="Aptos Narrow"/>
        <family val="2"/>
        <scheme val="minor"/>
      </rPr>
      <t xml:space="preserve"> x K</t>
    </r>
    <r>
      <rPr>
        <b/>
        <vertAlign val="subscript"/>
        <sz val="11"/>
        <color rgb="FF002060"/>
        <rFont val="Aptos Narrow"/>
        <family val="2"/>
        <scheme val="minor"/>
      </rPr>
      <t xml:space="preserve">c x </t>
    </r>
    <r>
      <rPr>
        <b/>
        <sz val="11"/>
        <color rgb="FF002060"/>
        <rFont val="Aptos Narrow"/>
        <family val="2"/>
        <scheme val="minor"/>
      </rPr>
      <t>P</t>
    </r>
    <r>
      <rPr>
        <b/>
        <vertAlign val="subscript"/>
        <sz val="11"/>
        <color rgb="FF002060"/>
        <rFont val="Aptos Narrow"/>
        <family val="2"/>
        <scheme val="minor"/>
      </rPr>
      <t>z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</si>
  <si>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1"/>
        <color theme="1"/>
        <rFont val="Aptos Narrow"/>
        <family val="2"/>
        <scheme val="minor"/>
      </rPr>
      <t/>
    </r>
  </si>
  <si>
    <t>Importance factor as per C.6.3.4  IS: 875 (Part-3):2015</t>
  </si>
  <si>
    <t>Bahraich</t>
  </si>
  <si>
    <r>
      <t>K</t>
    </r>
    <r>
      <rPr>
        <vertAlign val="subscript"/>
        <sz val="11"/>
        <color theme="1"/>
        <rFont val="Aptos Narrow"/>
        <family val="2"/>
        <scheme val="minor"/>
      </rPr>
      <t>d</t>
    </r>
  </si>
  <si>
    <t>Wind directionary factor as per Cl.7.2.1 IS: 875 (Part-3)</t>
  </si>
  <si>
    <t>Bengaluru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</si>
  <si>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d</t>
    </r>
    <r>
      <rPr>
        <b/>
        <sz val="11"/>
        <color theme="1"/>
        <rFont val="Aptos Narrow"/>
        <family val="2"/>
        <scheme val="minor"/>
      </rPr>
      <t xml:space="preserve"> =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</si>
  <si>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a</t>
    </r>
  </si>
  <si>
    <t>Area averaging factor as per Table 4 IS: 875 (Part-3)</t>
  </si>
  <si>
    <t>Barauni</t>
  </si>
  <si>
    <r>
      <t>K</t>
    </r>
    <r>
      <rPr>
        <vertAlign val="subscript"/>
        <sz val="11"/>
        <color theme="1"/>
        <rFont val="Aptos Narrow"/>
        <family val="2"/>
        <scheme val="minor"/>
      </rPr>
      <t>c</t>
    </r>
  </si>
  <si>
    <t>Combination factor as per Table 4 IS: 875 (Part-3)</t>
  </si>
  <si>
    <t>Bareilly</t>
  </si>
  <si>
    <t>Bhatinda</t>
  </si>
  <si>
    <t>Internal Pressure Coefficient</t>
  </si>
  <si>
    <t>As per Cl.7.3.2.2 IS:875-2015</t>
  </si>
  <si>
    <t>Bhilai</t>
  </si>
  <si>
    <t>Less than 5% opening</t>
  </si>
  <si>
    <t>Bhopal</t>
  </si>
  <si>
    <t>Cpi</t>
  </si>
  <si>
    <t>5 to 20% opening</t>
  </si>
  <si>
    <t>Bhubaneswar</t>
  </si>
  <si>
    <t>More than 20%</t>
  </si>
  <si>
    <t>Bhuj</t>
  </si>
  <si>
    <t>Bikaner</t>
  </si>
  <si>
    <t>External Pressure Coefficient</t>
  </si>
  <si>
    <t>Bokaro</t>
  </si>
  <si>
    <t>Bombay/Mumbai</t>
  </si>
  <si>
    <t>H/W</t>
  </si>
  <si>
    <t>Calcutta/Kolkata</t>
  </si>
  <si>
    <t>L/W</t>
  </si>
  <si>
    <t>Calicut/Kozhikode</t>
  </si>
  <si>
    <t>Chandigarh</t>
  </si>
  <si>
    <t>Coefficient during suction case</t>
  </si>
  <si>
    <t>Coimbatore</t>
  </si>
  <si>
    <t>Note : Put value on yellow box as per table 5 IS: 875 Part-3</t>
  </si>
  <si>
    <t>Cuttack</t>
  </si>
  <si>
    <t>final pressure co-efficient = (cpe-cpi)  in green box</t>
  </si>
  <si>
    <t>Darbhanga</t>
  </si>
  <si>
    <t xml:space="preserve"> +ve value denote towards the wall</t>
  </si>
  <si>
    <t>Darjeeling</t>
  </si>
  <si>
    <t xml:space="preserve"> -ve value denote away from the wall</t>
  </si>
  <si>
    <t>Dehra Dun</t>
  </si>
  <si>
    <t>Delhi</t>
  </si>
  <si>
    <t>Durgapur</t>
  </si>
  <si>
    <t>Gangtok</t>
  </si>
  <si>
    <t>Guwahati</t>
  </si>
  <si>
    <t>Gaya</t>
  </si>
  <si>
    <t>Gorakhpur</t>
  </si>
  <si>
    <t>Hyderabad</t>
  </si>
  <si>
    <t>Imphal</t>
  </si>
  <si>
    <t>Jabalpur</t>
  </si>
  <si>
    <t>Jaipur</t>
  </si>
  <si>
    <t>Jamshedpur</t>
  </si>
  <si>
    <t>Jhansi</t>
  </si>
  <si>
    <t>Jodhpur</t>
  </si>
  <si>
    <t>Coefficient during pressure case</t>
  </si>
  <si>
    <t>Kanpur</t>
  </si>
  <si>
    <t>Kohima</t>
  </si>
  <si>
    <t>Kurnool</t>
  </si>
  <si>
    <t>Lakshadweep</t>
  </si>
  <si>
    <t>Lucknow</t>
  </si>
  <si>
    <t>Ludhiana</t>
  </si>
  <si>
    <t>Madras/Chennai</t>
  </si>
  <si>
    <t>Madurai</t>
  </si>
  <si>
    <t>Mandi</t>
  </si>
  <si>
    <t>Mangalore</t>
  </si>
  <si>
    <t>Moradabad</t>
  </si>
  <si>
    <t>Mysore</t>
  </si>
  <si>
    <t>Nagpur</t>
  </si>
  <si>
    <t>Nainital</t>
  </si>
  <si>
    <t>Nasik</t>
  </si>
  <si>
    <t>Nellore</t>
  </si>
  <si>
    <t>Panjim(Goa)</t>
  </si>
  <si>
    <t>Patiala</t>
  </si>
  <si>
    <t>Patna</t>
  </si>
  <si>
    <t>Pondicherry</t>
  </si>
  <si>
    <t>PortBlair</t>
  </si>
  <si>
    <t>Rajkot</t>
  </si>
  <si>
    <t>Ranchi</t>
  </si>
  <si>
    <t>Roorkee</t>
  </si>
  <si>
    <t>Rourkela</t>
  </si>
  <si>
    <t>Shimla</t>
  </si>
  <si>
    <t>Srinagar</t>
  </si>
  <si>
    <t>Surat</t>
  </si>
  <si>
    <t>Tiruchirappalli</t>
  </si>
  <si>
    <t>s</t>
  </si>
  <si>
    <t>Trivandrum</t>
  </si>
  <si>
    <t>Udaipur</t>
  </si>
  <si>
    <t>Vadodara</t>
  </si>
  <si>
    <t>Varanasi</t>
  </si>
  <si>
    <t>Vijayawada</t>
  </si>
  <si>
    <t>Visakhapatnam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</si>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</sst>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vertAlign val="subscript"/>
      <sz val="11"/>
      <color rgb="FF00206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rgb="FF00206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11" fillId="0" borderId="0" xfId="0" applyFont="1"/>
    <xf numFmtId="2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2" fillId="0" borderId="3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3" fillId="0" borderId="0" xfId="0" applyFont="1"/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5" Type="http://schemas.openxmlformats.org/officeDocument/2006/relationships/image" Target="../media/image4.png"/><Relationship Id="rId4" Type="http://schemas.openxmlformats.org/officeDocument/2006/relationships/customXml" Target="../ink/ink1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7</xdr:row>
      <xdr:rowOff>0</xdr:rowOff>
    </xdr:from>
    <xdr:to>
      <xdr:col>17</xdr:col>
      <xdr:colOff>7620</xdr:colOff>
      <xdr:row>13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769E0FC-F2C1-43BE-A584-AB283889C538}"/>
            </a:ext>
          </a:extLst>
        </xdr:cNvPr>
        <xdr:cNvCxnSpPr/>
      </xdr:nvCxnSpPr>
      <xdr:spPr>
        <a:xfrm flipH="1">
          <a:off x="10496550" y="1828800"/>
          <a:ext cx="7620" cy="1581150"/>
        </a:xfrm>
        <a:prstGeom prst="line">
          <a:avLst/>
        </a:prstGeom>
        <a:ln w="190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7</xdr:row>
      <xdr:rowOff>7620</xdr:rowOff>
    </xdr:from>
    <xdr:to>
      <xdr:col>19</xdr:col>
      <xdr:colOff>7620</xdr:colOff>
      <xdr:row>13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AA9DD21-88BE-4758-8F41-CE8A6BA5DBD6}"/>
            </a:ext>
          </a:extLst>
        </xdr:cNvPr>
        <xdr:cNvCxnSpPr/>
      </xdr:nvCxnSpPr>
      <xdr:spPr>
        <a:xfrm flipH="1">
          <a:off x="11715750" y="1836420"/>
          <a:ext cx="7620" cy="1581150"/>
        </a:xfrm>
        <a:prstGeom prst="line">
          <a:avLst/>
        </a:prstGeom>
        <a:ln w="190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609508</xdr:colOff>
      <xdr:row>5</xdr:row>
      <xdr:rowOff>305803</xdr:rowOff>
    </xdr:from>
    <xdr:to>
      <xdr:col>17</xdr:col>
      <xdr:colOff>591552</xdr:colOff>
      <xdr:row>7</xdr:row>
      <xdr:rowOff>1759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BF90F5A-F1E0-4699-8769-A455ABE87CC8}"/>
            </a:ext>
          </a:extLst>
        </xdr:cNvPr>
        <xdr:cNvCxnSpPr/>
      </xdr:nvCxnSpPr>
      <xdr:spPr>
        <a:xfrm flipH="1">
          <a:off x="10496458" y="1324978"/>
          <a:ext cx="591644" cy="505581"/>
        </a:xfrm>
        <a:prstGeom prst="line">
          <a:avLst/>
        </a:prstGeom>
        <a:ln w="190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591552</xdr:colOff>
      <xdr:row>5</xdr:row>
      <xdr:rowOff>285750</xdr:rowOff>
    </xdr:from>
    <xdr:to>
      <xdr:col>19</xdr:col>
      <xdr:colOff>5861</xdr:colOff>
      <xdr:row>7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7247883-6A1E-405B-AB4D-4E8B4259A7FB}"/>
            </a:ext>
          </a:extLst>
        </xdr:cNvPr>
        <xdr:cNvCxnSpPr/>
      </xdr:nvCxnSpPr>
      <xdr:spPr>
        <a:xfrm>
          <a:off x="11088102" y="1304925"/>
          <a:ext cx="633509" cy="533400"/>
        </a:xfrm>
        <a:prstGeom prst="line">
          <a:avLst/>
        </a:prstGeom>
        <a:ln w="190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471488</xdr:colOff>
      <xdr:row>7</xdr:row>
      <xdr:rowOff>8965</xdr:rowOff>
    </xdr:from>
    <xdr:to>
      <xdr:col>16</xdr:col>
      <xdr:colOff>479684</xdr:colOff>
      <xdr:row>12</xdr:row>
      <xdr:rowOff>190501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54867FC-C0B9-4AEF-8555-A34973818664}"/>
            </a:ext>
          </a:extLst>
        </xdr:cNvPr>
        <xdr:cNvCxnSpPr/>
      </xdr:nvCxnSpPr>
      <xdr:spPr>
        <a:xfrm flipH="1">
          <a:off x="10358438" y="1837765"/>
          <a:ext cx="8196" cy="152456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606794</xdr:colOff>
      <xdr:row>12</xdr:row>
      <xdr:rowOff>151838</xdr:rowOff>
    </xdr:from>
    <xdr:to>
      <xdr:col>18</xdr:col>
      <xdr:colOff>573741</xdr:colOff>
      <xdr:row>12</xdr:row>
      <xdr:rowOff>161365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59E4DA4-1D05-419A-81F5-E3355D00A294}"/>
            </a:ext>
          </a:extLst>
        </xdr:cNvPr>
        <xdr:cNvCxnSpPr/>
      </xdr:nvCxnSpPr>
      <xdr:spPr>
        <a:xfrm>
          <a:off x="10493744" y="3323663"/>
          <a:ext cx="1186147" cy="952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605977</xdr:colOff>
      <xdr:row>9</xdr:row>
      <xdr:rowOff>233875</xdr:rowOff>
    </xdr:from>
    <xdr:to>
      <xdr:col>20</xdr:col>
      <xdr:colOff>329691</xdr:colOff>
      <xdr:row>12</xdr:row>
      <xdr:rowOff>227961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569B466-2207-41BA-9115-E2B93A3869B2}"/>
            </a:ext>
          </a:extLst>
        </xdr:cNvPr>
        <xdr:cNvCxnSpPr/>
      </xdr:nvCxnSpPr>
      <xdr:spPr>
        <a:xfrm flipH="1">
          <a:off x="11712127" y="2700850"/>
          <a:ext cx="2266889" cy="698936"/>
        </a:xfrm>
        <a:prstGeom prst="line">
          <a:avLst/>
        </a:prstGeom>
        <a:ln w="190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4616</xdr:colOff>
      <xdr:row>5</xdr:row>
      <xdr:rowOff>70184</xdr:rowOff>
    </xdr:from>
    <xdr:to>
      <xdr:col>20</xdr:col>
      <xdr:colOff>320842</xdr:colOff>
      <xdr:row>7</xdr:row>
      <xdr:rowOff>7338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40E4ECE-0EA8-4C5E-BADD-609D802CA104}"/>
            </a:ext>
          </a:extLst>
        </xdr:cNvPr>
        <xdr:cNvCxnSpPr/>
      </xdr:nvCxnSpPr>
      <xdr:spPr>
        <a:xfrm flipH="1">
          <a:off x="11720366" y="1089359"/>
          <a:ext cx="2249801" cy="746779"/>
        </a:xfrm>
        <a:prstGeom prst="line">
          <a:avLst/>
        </a:prstGeom>
        <a:ln w="190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6236</xdr:colOff>
      <xdr:row>9</xdr:row>
      <xdr:rowOff>62753</xdr:rowOff>
    </xdr:from>
    <xdr:to>
      <xdr:col>20</xdr:col>
      <xdr:colOff>394447</xdr:colOff>
      <xdr:row>12</xdr:row>
      <xdr:rowOff>45214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60643D2-B768-47C4-9CD6-F153CA9ACF5E}"/>
            </a:ext>
          </a:extLst>
        </xdr:cNvPr>
        <xdr:cNvCxnSpPr/>
      </xdr:nvCxnSpPr>
      <xdr:spPr>
        <a:xfrm flipV="1">
          <a:off x="11721986" y="2529728"/>
          <a:ext cx="2321786" cy="68731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105671</xdr:colOff>
      <xdr:row>34</xdr:row>
      <xdr:rowOff>7620</xdr:rowOff>
    </xdr:from>
    <xdr:to>
      <xdr:col>2</xdr:col>
      <xdr:colOff>667646</xdr:colOff>
      <xdr:row>39</xdr:row>
      <xdr:rowOff>83820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E2A2BF4-90E9-4050-A592-C339416CFC36}"/>
            </a:ext>
          </a:extLst>
        </xdr:cNvPr>
        <xdr:cNvSpPr/>
      </xdr:nvSpPr>
      <xdr:spPr>
        <a:xfrm>
          <a:off x="696221" y="7694295"/>
          <a:ext cx="1181100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618116</xdr:colOff>
      <xdr:row>34</xdr:row>
      <xdr:rowOff>7620</xdr:rowOff>
    </xdr:from>
    <xdr:to>
      <xdr:col>1</xdr:col>
      <xdr:colOff>618116</xdr:colOff>
      <xdr:row>35</xdr:row>
      <xdr:rowOff>152400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0B95359-9BDA-491E-9B6A-0F6B755DD40C}"/>
            </a:ext>
          </a:extLst>
        </xdr:cNvPr>
        <xdr:cNvCxnSpPr>
          <a:stCxn id="11" idx="0"/>
        </xdr:cNvCxnSpPr>
      </xdr:nvCxnSpPr>
      <xdr:spPr>
        <a:xfrm>
          <a:off x="1208666" y="7694295"/>
          <a:ext cx="0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616846</xdr:colOff>
      <xdr:row>37</xdr:row>
      <xdr:rowOff>48895</xdr:rowOff>
    </xdr:from>
    <xdr:to>
      <xdr:col>2</xdr:col>
      <xdr:colOff>5341</xdr:colOff>
      <xdr:row>39</xdr:row>
      <xdr:rowOff>86995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B9247AB-BBBF-493C-89F4-A93DA3B04836}"/>
            </a:ext>
          </a:extLst>
        </xdr:cNvPr>
        <xdr:cNvCxnSpPr/>
      </xdr:nvCxnSpPr>
      <xdr:spPr>
        <a:xfrm flipH="1" flipV="1">
          <a:off x="1207396" y="8335645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105671</xdr:colOff>
      <xdr:row>36</xdr:row>
      <xdr:rowOff>137160</xdr:rowOff>
    </xdr:from>
    <xdr:to>
      <xdr:col>1</xdr:col>
      <xdr:colOff>463811</xdr:colOff>
      <xdr:row>36</xdr:row>
      <xdr:rowOff>137160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648AE87-55A9-4E37-9C3A-5DEFF75666E8}"/>
            </a:ext>
          </a:extLst>
        </xdr:cNvPr>
        <xdr:cNvCxnSpPr>
          <a:stCxn id="11" idx="1"/>
        </xdr:cNvCxnSpPr>
      </xdr:nvCxnSpPr>
      <xdr:spPr>
        <a:xfrm>
          <a:off x="696221" y="8223885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36</xdr:row>
      <xdr:rowOff>145733</xdr:rowOff>
    </xdr:from>
    <xdr:to>
      <xdr:col>2</xdr:col>
      <xdr:colOff>667646</xdr:colOff>
      <xdr:row>36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FE70256-A50E-4970-BBA6-C0530463E095}"/>
            </a:ext>
          </a:extLst>
        </xdr:cNvPr>
        <xdr:cNvCxnSpPr>
          <a:stCxn id="11" idx="3"/>
        </xdr:cNvCxnSpPr>
      </xdr:nvCxnSpPr>
      <xdr:spPr>
        <a:xfrm flipH="1">
          <a:off x="1476375" y="8232458"/>
          <a:ext cx="400946" cy="6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86328</xdr:colOff>
      <xdr:row>36</xdr:row>
      <xdr:rowOff>134815</xdr:rowOff>
    </xdr:from>
    <xdr:to>
      <xdr:col>1</xdr:col>
      <xdr:colOff>105671</xdr:colOff>
      <xdr:row>36</xdr:row>
      <xdr:rowOff>136574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E47B284-7625-49B5-B548-FE63FFC7B52F}"/>
            </a:ext>
          </a:extLst>
        </xdr:cNvPr>
        <xdr:cNvCxnSpPr/>
      </xdr:nvCxnSpPr>
      <xdr:spPr>
        <a:xfrm>
          <a:off x="86328" y="8221540"/>
          <a:ext cx="609893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665037</xdr:colOff>
      <xdr:row>36</xdr:row>
      <xdr:rowOff>129247</xdr:rowOff>
    </xdr:from>
    <xdr:to>
      <xdr:col>3</xdr:col>
      <xdr:colOff>543186</xdr:colOff>
      <xdr:row>36</xdr:row>
      <xdr:rowOff>131006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EDDE4FD-CBD7-4655-8E14-779F041DB943}"/>
            </a:ext>
          </a:extLst>
        </xdr:cNvPr>
        <xdr:cNvCxnSpPr/>
      </xdr:nvCxnSpPr>
      <xdr:spPr>
        <a:xfrm>
          <a:off x="1874712" y="8215972"/>
          <a:ext cx="630624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621291</xdr:colOff>
      <xdr:row>39</xdr:row>
      <xdr:rowOff>86995</xdr:rowOff>
    </xdr:from>
    <xdr:to>
      <xdr:col>1</xdr:col>
      <xdr:colOff>621291</xdr:colOff>
      <xdr:row>42</xdr:row>
      <xdr:rowOff>147955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354F61A-69F1-49DA-956B-71FFA7DD34FD}"/>
            </a:ext>
          </a:extLst>
        </xdr:cNvPr>
        <xdr:cNvCxnSpPr>
          <a:stCxn id="11" idx="2"/>
        </xdr:cNvCxnSpPr>
      </xdr:nvCxnSpPr>
      <xdr:spPr>
        <a:xfrm>
          <a:off x="1211841" y="8773795"/>
          <a:ext cx="0" cy="661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618116</xdr:colOff>
      <xdr:row>30</xdr:row>
      <xdr:rowOff>167640</xdr:rowOff>
    </xdr:from>
    <xdr:to>
      <xdr:col>1</xdr:col>
      <xdr:colOff>618116</xdr:colOff>
      <xdr:row>34</xdr:row>
      <xdr:rowOff>7620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7535019-ADC9-4818-8254-0F9EEA8D8F2D}"/>
            </a:ext>
          </a:extLst>
        </xdr:cNvPr>
        <xdr:cNvCxnSpPr>
          <a:stCxn id="11" idx="0"/>
        </xdr:cNvCxnSpPr>
      </xdr:nvCxnSpPr>
      <xdr:spPr>
        <a:xfrm flipV="1">
          <a:off x="1208666" y="7054215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</xdr:colOff>
      <xdr:row>34</xdr:row>
      <xdr:rowOff>7620</xdr:rowOff>
    </xdr:from>
    <xdr:to>
      <xdr:col>7</xdr:col>
      <xdr:colOff>588645</xdr:colOff>
      <xdr:row>39</xdr:row>
      <xdr:rowOff>83820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01BE0BF-CEC6-4DDE-B50B-C3C83CAD0F95}"/>
            </a:ext>
          </a:extLst>
        </xdr:cNvPr>
        <xdr:cNvSpPr/>
      </xdr:nvSpPr>
      <xdr:spPr>
        <a:xfrm>
          <a:off x="3846195" y="7694295"/>
          <a:ext cx="1209675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529590</xdr:colOff>
      <xdr:row>34</xdr:row>
      <xdr:rowOff>7620</xdr:rowOff>
    </xdr:from>
    <xdr:to>
      <xdr:col>6</xdr:col>
      <xdr:colOff>529590</xdr:colOff>
      <xdr:row>35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13B29222-2CA8-40D9-BABC-76A879B21583}"/>
            </a:ext>
          </a:extLst>
        </xdr:cNvPr>
        <xdr:cNvCxnSpPr>
          <a:stCxn id="20" idx="0"/>
        </xdr:cNvCxnSpPr>
      </xdr:nvCxnSpPr>
      <xdr:spPr>
        <a:xfrm>
          <a:off x="4358640" y="7694295"/>
          <a:ext cx="0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521970</xdr:colOff>
      <xdr:row>37</xdr:row>
      <xdr:rowOff>45720</xdr:rowOff>
    </xdr:from>
    <xdr:to>
      <xdr:col>6</xdr:col>
      <xdr:colOff>529590</xdr:colOff>
      <xdr:row>39</xdr:row>
      <xdr:rowOff>83820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23C340F-C8EA-4272-842A-38668B5EB485}"/>
            </a:ext>
          </a:extLst>
        </xdr:cNvPr>
        <xdr:cNvCxnSpPr>
          <a:stCxn id="20" idx="2"/>
        </xdr:cNvCxnSpPr>
      </xdr:nvCxnSpPr>
      <xdr:spPr>
        <a:xfrm flipH="1" flipV="1">
          <a:off x="4351020" y="8332470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</xdr:colOff>
      <xdr:row>36</xdr:row>
      <xdr:rowOff>137160</xdr:rowOff>
    </xdr:from>
    <xdr:to>
      <xdr:col>6</xdr:col>
      <xdr:colOff>375285</xdr:colOff>
      <xdr:row>36</xdr:row>
      <xdr:rowOff>137160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8E05DF4-1D09-4401-A8BC-57BF47E7EA70}"/>
            </a:ext>
          </a:extLst>
        </xdr:cNvPr>
        <xdr:cNvCxnSpPr>
          <a:cxnSpLocks/>
          <a:stCxn id="20" idx="1"/>
        </xdr:cNvCxnSpPr>
      </xdr:nvCxnSpPr>
      <xdr:spPr>
        <a:xfrm>
          <a:off x="3846195" y="8223885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36</xdr:row>
      <xdr:rowOff>137160</xdr:rowOff>
    </xdr:from>
    <xdr:to>
      <xdr:col>7</xdr:col>
      <xdr:colOff>588645</xdr:colOff>
      <xdr:row>36</xdr:row>
      <xdr:rowOff>137160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E18C9F5-156E-4970-9AEC-F305A7049B40}"/>
            </a:ext>
          </a:extLst>
        </xdr:cNvPr>
        <xdr:cNvCxnSpPr>
          <a:stCxn id="20" idx="3"/>
        </xdr:cNvCxnSpPr>
      </xdr:nvCxnSpPr>
      <xdr:spPr>
        <a:xfrm flipH="1">
          <a:off x="4552950" y="8223885"/>
          <a:ext cx="5029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36</xdr:row>
      <xdr:rowOff>127000</xdr:rowOff>
    </xdr:from>
    <xdr:to>
      <xdr:col>6</xdr:col>
      <xdr:colOff>16852</xdr:colOff>
      <xdr:row>36</xdr:row>
      <xdr:rowOff>128465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F17374F-48B9-4389-A609-BA99E815BAA2}"/>
            </a:ext>
          </a:extLst>
        </xdr:cNvPr>
        <xdr:cNvCxnSpPr/>
      </xdr:nvCxnSpPr>
      <xdr:spPr>
        <a:xfrm flipH="1" flipV="1">
          <a:off x="3219450" y="8213725"/>
          <a:ext cx="626452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529590</xdr:colOff>
      <xdr:row>39</xdr:row>
      <xdr:rowOff>83820</xdr:rowOff>
    </xdr:from>
    <xdr:to>
      <xdr:col>6</xdr:col>
      <xdr:colOff>529590</xdr:colOff>
      <xdr:row>42</xdr:row>
      <xdr:rowOff>144780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5FF7A0E0-B3DD-43ED-99A8-71437B2DD314}"/>
            </a:ext>
          </a:extLst>
        </xdr:cNvPr>
        <xdr:cNvCxnSpPr>
          <a:stCxn id="20" idx="2"/>
        </xdr:cNvCxnSpPr>
      </xdr:nvCxnSpPr>
      <xdr:spPr>
        <a:xfrm>
          <a:off x="4358640" y="8770620"/>
          <a:ext cx="0" cy="661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529590</xdr:colOff>
      <xdr:row>30</xdr:row>
      <xdr:rowOff>167640</xdr:rowOff>
    </xdr:from>
    <xdr:to>
      <xdr:col>6</xdr:col>
      <xdr:colOff>529590</xdr:colOff>
      <xdr:row>34</xdr:row>
      <xdr:rowOff>7620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C65FACC-C1E0-423D-8276-B5D19AD203C5}"/>
            </a:ext>
          </a:extLst>
        </xdr:cNvPr>
        <xdr:cNvCxnSpPr>
          <a:stCxn id="20" idx="0"/>
        </xdr:cNvCxnSpPr>
      </xdr:nvCxnSpPr>
      <xdr:spPr>
        <a:xfrm flipV="1">
          <a:off x="4358640" y="7054215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36</xdr:row>
      <xdr:rowOff>142875</xdr:rowOff>
    </xdr:from>
    <xdr:to>
      <xdr:col>8</xdr:col>
      <xdr:colOff>607402</xdr:colOff>
      <xdr:row>36</xdr:row>
      <xdr:rowOff>144340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569AA74-F0D2-4807-8ED5-EA137ABEF3DE}"/>
            </a:ext>
          </a:extLst>
        </xdr:cNvPr>
        <xdr:cNvCxnSpPr/>
      </xdr:nvCxnSpPr>
      <xdr:spPr>
        <a:xfrm flipH="1" flipV="1">
          <a:off x="5057775" y="8229600"/>
          <a:ext cx="607402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598170</xdr:colOff>
      <xdr:row>34</xdr:row>
      <xdr:rowOff>26670</xdr:rowOff>
    </xdr:from>
    <xdr:to>
      <xdr:col>12</xdr:col>
      <xdr:colOff>560070</xdr:colOff>
      <xdr:row>39</xdr:row>
      <xdr:rowOff>102870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80F18B6-7A4D-4FA0-B319-F4836F58D98F}"/>
            </a:ext>
          </a:extLst>
        </xdr:cNvPr>
        <xdr:cNvSpPr/>
      </xdr:nvSpPr>
      <xdr:spPr>
        <a:xfrm>
          <a:off x="6875145" y="7713345"/>
          <a:ext cx="1181100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501015</xdr:colOff>
      <xdr:row>34</xdr:row>
      <xdr:rowOff>26670</xdr:rowOff>
    </xdr:from>
    <xdr:to>
      <xdr:col>11</xdr:col>
      <xdr:colOff>501015</xdr:colOff>
      <xdr:row>35</xdr:row>
      <xdr:rowOff>171450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FB0AFA22-9672-4B3B-842B-A12DED7914CF}"/>
            </a:ext>
          </a:extLst>
        </xdr:cNvPr>
        <xdr:cNvCxnSpPr>
          <a:stCxn id="29" idx="0"/>
        </xdr:cNvCxnSpPr>
      </xdr:nvCxnSpPr>
      <xdr:spPr>
        <a:xfrm>
          <a:off x="7387590" y="7713345"/>
          <a:ext cx="0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493395</xdr:colOff>
      <xdr:row>37</xdr:row>
      <xdr:rowOff>64770</xdr:rowOff>
    </xdr:from>
    <xdr:to>
      <xdr:col>11</xdr:col>
      <xdr:colOff>501015</xdr:colOff>
      <xdr:row>39</xdr:row>
      <xdr:rowOff>102870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962DC2C9-2AAB-43EA-971D-FE201D3EB012}"/>
            </a:ext>
          </a:extLst>
        </xdr:cNvPr>
        <xdr:cNvCxnSpPr>
          <a:stCxn id="29" idx="2"/>
        </xdr:cNvCxnSpPr>
      </xdr:nvCxnSpPr>
      <xdr:spPr>
        <a:xfrm flipH="1" flipV="1">
          <a:off x="7379970" y="8351520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598170</xdr:colOff>
      <xdr:row>36</xdr:row>
      <xdr:rowOff>156210</xdr:rowOff>
    </xdr:from>
    <xdr:to>
      <xdr:col>11</xdr:col>
      <xdr:colOff>346710</xdr:colOff>
      <xdr:row>36</xdr:row>
      <xdr:rowOff>156210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2E3B85C-F136-4349-B0EA-7E99D2B9A0C8}"/>
            </a:ext>
          </a:extLst>
        </xdr:cNvPr>
        <xdr:cNvCxnSpPr>
          <a:cxnSpLocks/>
          <a:stCxn id="29" idx="1"/>
        </xdr:cNvCxnSpPr>
      </xdr:nvCxnSpPr>
      <xdr:spPr>
        <a:xfrm>
          <a:off x="6875145" y="8242935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36</xdr:row>
      <xdr:rowOff>156210</xdr:rowOff>
    </xdr:from>
    <xdr:to>
      <xdr:col>12</xdr:col>
      <xdr:colOff>560070</xdr:colOff>
      <xdr:row>36</xdr:row>
      <xdr:rowOff>156210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5566010-0105-4F17-A3B4-446655F7537E}"/>
            </a:ext>
          </a:extLst>
        </xdr:cNvPr>
        <xdr:cNvCxnSpPr>
          <a:stCxn id="29" idx="3"/>
        </xdr:cNvCxnSpPr>
      </xdr:nvCxnSpPr>
      <xdr:spPr>
        <a:xfrm flipH="1">
          <a:off x="7524750" y="8242935"/>
          <a:ext cx="53149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581025</xdr:colOff>
      <xdr:row>36</xdr:row>
      <xdr:rowOff>142875</xdr:rowOff>
    </xdr:from>
    <xdr:to>
      <xdr:col>10</xdr:col>
      <xdr:colOff>597877</xdr:colOff>
      <xdr:row>36</xdr:row>
      <xdr:rowOff>144340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6CDABBC5-E49E-4927-B801-DDCB31A3697F}"/>
            </a:ext>
          </a:extLst>
        </xdr:cNvPr>
        <xdr:cNvCxnSpPr/>
      </xdr:nvCxnSpPr>
      <xdr:spPr>
        <a:xfrm flipH="1" flipV="1">
          <a:off x="6248400" y="8229600"/>
          <a:ext cx="626452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514153</xdr:colOff>
      <xdr:row>39</xdr:row>
      <xdr:rowOff>131380</xdr:rowOff>
    </xdr:from>
    <xdr:to>
      <xdr:col>11</xdr:col>
      <xdr:colOff>514153</xdr:colOff>
      <xdr:row>42</xdr:row>
      <xdr:rowOff>17473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B1ABB9E4-D7FF-43F3-A6EA-9EDAE23C9DBB}"/>
            </a:ext>
          </a:extLst>
        </xdr:cNvPr>
        <xdr:cNvCxnSpPr/>
      </xdr:nvCxnSpPr>
      <xdr:spPr>
        <a:xfrm flipV="1">
          <a:off x="7400728" y="8818180"/>
          <a:ext cx="0" cy="4861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497402</xdr:colOff>
      <xdr:row>31</xdr:row>
      <xdr:rowOff>105103</xdr:rowOff>
    </xdr:from>
    <xdr:to>
      <xdr:col>11</xdr:col>
      <xdr:colOff>497402</xdr:colOff>
      <xdr:row>34</xdr:row>
      <xdr:rowOff>10904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385A655-2BAE-4A80-A778-141FB787F447}"/>
            </a:ext>
          </a:extLst>
        </xdr:cNvPr>
        <xdr:cNvCxnSpPr/>
      </xdr:nvCxnSpPr>
      <xdr:spPr>
        <a:xfrm flipV="1">
          <a:off x="7383977" y="7191703"/>
          <a:ext cx="0" cy="5058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565492</xdr:colOff>
      <xdr:row>36</xdr:row>
      <xdr:rowOff>148297</xdr:rowOff>
    </xdr:from>
    <xdr:to>
      <xdr:col>13</xdr:col>
      <xdr:colOff>584835</xdr:colOff>
      <xdr:row>36</xdr:row>
      <xdr:rowOff>150056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1F54BF8B-E5AA-439D-9BE6-C61270A7A8E6}"/>
            </a:ext>
          </a:extLst>
        </xdr:cNvPr>
        <xdr:cNvCxnSpPr/>
      </xdr:nvCxnSpPr>
      <xdr:spPr>
        <a:xfrm>
          <a:off x="8061667" y="8235022"/>
          <a:ext cx="628943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588645</xdr:colOff>
      <xdr:row>34</xdr:row>
      <xdr:rowOff>36195</xdr:rowOff>
    </xdr:from>
    <xdr:to>
      <xdr:col>17</xdr:col>
      <xdr:colOff>550545</xdr:colOff>
      <xdr:row>39</xdr:row>
      <xdr:rowOff>112395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8E8F572-4264-4785-B417-236172C7CFD2}"/>
            </a:ext>
          </a:extLst>
        </xdr:cNvPr>
        <xdr:cNvSpPr/>
      </xdr:nvSpPr>
      <xdr:spPr>
        <a:xfrm>
          <a:off x="9885045" y="7722870"/>
          <a:ext cx="1162050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583785</xdr:colOff>
      <xdr:row>34</xdr:row>
      <xdr:rowOff>33896</xdr:rowOff>
    </xdr:from>
    <xdr:to>
      <xdr:col>16</xdr:col>
      <xdr:colOff>583785</xdr:colOff>
      <xdr:row>35</xdr:row>
      <xdr:rowOff>178676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5D470DA2-F864-4E32-B63B-9EEA8D01385E}"/>
            </a:ext>
          </a:extLst>
        </xdr:cNvPr>
        <xdr:cNvCxnSpPr/>
      </xdr:nvCxnSpPr>
      <xdr:spPr>
        <a:xfrm>
          <a:off x="10470735" y="7720571"/>
          <a:ext cx="0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587988</xdr:colOff>
      <xdr:row>37</xdr:row>
      <xdr:rowOff>58858</xdr:rowOff>
    </xdr:from>
    <xdr:to>
      <xdr:col>16</xdr:col>
      <xdr:colOff>596922</xdr:colOff>
      <xdr:row>39</xdr:row>
      <xdr:rowOff>96958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EC45EC1E-DD8D-4F69-9799-ED41CF49F19B}"/>
            </a:ext>
          </a:extLst>
        </xdr:cNvPr>
        <xdr:cNvCxnSpPr/>
      </xdr:nvCxnSpPr>
      <xdr:spPr>
        <a:xfrm flipH="1" flipV="1">
          <a:off x="10474938" y="8345608"/>
          <a:ext cx="8934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607038</xdr:colOff>
      <xdr:row>36</xdr:row>
      <xdr:rowOff>141758</xdr:rowOff>
    </xdr:from>
    <xdr:to>
      <xdr:col>16</xdr:col>
      <xdr:colOff>351089</xdr:colOff>
      <xdr:row>36</xdr:row>
      <xdr:rowOff>141758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1588D217-F122-425D-848D-A9A5BF5762DE}"/>
            </a:ext>
          </a:extLst>
        </xdr:cNvPr>
        <xdr:cNvCxnSpPr>
          <a:cxnSpLocks/>
        </xdr:cNvCxnSpPr>
      </xdr:nvCxnSpPr>
      <xdr:spPr>
        <a:xfrm>
          <a:off x="9884388" y="8228483"/>
          <a:ext cx="35365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11496</xdr:colOff>
      <xdr:row>36</xdr:row>
      <xdr:rowOff>137160</xdr:rowOff>
    </xdr:from>
    <xdr:to>
      <xdr:col>17</xdr:col>
      <xdr:colOff>544304</xdr:colOff>
      <xdr:row>36</xdr:row>
      <xdr:rowOff>137160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24AD4D35-D1BE-4B15-968D-98B983D1C09D}"/>
            </a:ext>
          </a:extLst>
        </xdr:cNvPr>
        <xdr:cNvCxnSpPr/>
      </xdr:nvCxnSpPr>
      <xdr:spPr>
        <a:xfrm flipH="1">
          <a:off x="10508046" y="8223885"/>
          <a:ext cx="53280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558690</xdr:colOff>
      <xdr:row>36</xdr:row>
      <xdr:rowOff>123825</xdr:rowOff>
    </xdr:from>
    <xdr:to>
      <xdr:col>15</xdr:col>
      <xdr:colOff>575542</xdr:colOff>
      <xdr:row>36</xdr:row>
      <xdr:rowOff>125290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7A0736F-6753-4EAB-96B2-66EE94629EAF}"/>
            </a:ext>
          </a:extLst>
        </xdr:cNvPr>
        <xdr:cNvCxnSpPr/>
      </xdr:nvCxnSpPr>
      <xdr:spPr>
        <a:xfrm flipH="1" flipV="1">
          <a:off x="9274065" y="8210550"/>
          <a:ext cx="616927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70192</xdr:colOff>
      <xdr:row>36</xdr:row>
      <xdr:rowOff>129247</xdr:rowOff>
    </xdr:from>
    <xdr:to>
      <xdr:col>19</xdr:col>
      <xdr:colOff>89535</xdr:colOff>
      <xdr:row>36</xdr:row>
      <xdr:rowOff>131006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A79661D8-6E6E-40DD-9BCF-B7A5E319E24E}"/>
            </a:ext>
          </a:extLst>
        </xdr:cNvPr>
        <xdr:cNvCxnSpPr/>
      </xdr:nvCxnSpPr>
      <xdr:spPr>
        <a:xfrm>
          <a:off x="11176342" y="8215972"/>
          <a:ext cx="628943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472965</xdr:colOff>
      <xdr:row>31</xdr:row>
      <xdr:rowOff>32845</xdr:rowOff>
    </xdr:from>
    <xdr:to>
      <xdr:col>16</xdr:col>
      <xdr:colOff>483661</xdr:colOff>
      <xdr:row>34</xdr:row>
      <xdr:rowOff>45983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80EE3122-7E7F-4BA3-9B29-7737EFEE3D7B}"/>
            </a:ext>
          </a:extLst>
        </xdr:cNvPr>
        <xdr:cNvCxnSpPr/>
      </xdr:nvCxnSpPr>
      <xdr:spPr>
        <a:xfrm>
          <a:off x="10359915" y="7119445"/>
          <a:ext cx="10696" cy="6132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508766</xdr:colOff>
      <xdr:row>39</xdr:row>
      <xdr:rowOff>157655</xdr:rowOff>
    </xdr:from>
    <xdr:to>
      <xdr:col>16</xdr:col>
      <xdr:colOff>508766</xdr:colOff>
      <xdr:row>42</xdr:row>
      <xdr:rowOff>108191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553F22C1-D5F2-45E3-BDF2-8DBD11C9AE33}"/>
            </a:ext>
          </a:extLst>
        </xdr:cNvPr>
        <xdr:cNvCxnSpPr/>
      </xdr:nvCxnSpPr>
      <xdr:spPr>
        <a:xfrm>
          <a:off x="10395716" y="8844455"/>
          <a:ext cx="0" cy="5506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114299</xdr:colOff>
      <xdr:row>1</xdr:row>
      <xdr:rowOff>104775</xdr:rowOff>
    </xdr:from>
    <xdr:to>
      <xdr:col>27</xdr:col>
      <xdr:colOff>21836</xdr:colOff>
      <xdr:row>16</xdr:row>
      <xdr:rowOff>63552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571BFE9-B5C6-4284-8664-EE595777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73224" y="295275"/>
          <a:ext cx="6203562" cy="2797227"/>
        </a:xfrm>
        <a:prstGeom prst="rect">
          <a:avLst/>
        </a:prstGeom>
      </xdr:spPr>
    </xdr:pic>
    <xdr:clientData/>
  </xdr:twoCellAnchor>
  <xdr:twoCellAnchor editAs="oneCell">
    <xdr:from>
      <xdr:col>21</xdr:col>
      <xdr:colOff>176893</xdr:colOff>
      <xdr:row>14</xdr:row>
      <xdr:rowOff>136072</xdr:rowOff>
    </xdr:from>
    <xdr:to>
      <xdr:col>21</xdr:col>
      <xdr:colOff>2683782</xdr:colOff>
      <xdr:row>32</xdr:row>
      <xdr:rowOff>90805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50853F7-5DBB-463A-AEEE-197C3592A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35818" y="3793672"/>
          <a:ext cx="2506889" cy="3383733"/>
        </a:xfrm>
        <a:prstGeom prst="rect">
          <a:avLst/>
        </a:prstGeom>
      </xdr:spPr>
    </xdr:pic>
    <xdr:clientData/>
  </xdr:twoCellAnchor>
  <xdr:twoCellAnchor editAs="oneCell">
    <xdr:from>
      <xdr:col>19</xdr:col>
      <xdr:colOff>721250</xdr:colOff>
      <xdr:row>32</xdr:row>
      <xdr:rowOff>112059</xdr:rowOff>
    </xdr:from>
    <xdr:to>
      <xdr:col>23</xdr:col>
      <xdr:colOff>118785</xdr:colOff>
      <xdr:row>70</xdr:row>
      <xdr:rowOff>162196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E380D460-F9F6-4E34-9081-FBD044E44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37000" y="7398684"/>
          <a:ext cx="5798335" cy="7289137"/>
        </a:xfrm>
        <a:prstGeom prst="rect">
          <a:avLst/>
        </a:prstGeom>
      </xdr:spPr>
    </xdr:pic>
    <xdr:clientData/>
  </xdr:twoCellAnchor>
  <xdr:twoCellAnchor>
    <xdr:from>
      <xdr:col>1</xdr:col>
      <xdr:colOff>105671</xdr:colOff>
      <xdr:row>50</xdr:row>
      <xdr:rowOff>7620</xdr:rowOff>
    </xdr:from>
    <xdr:to>
      <xdr:col>2</xdr:col>
      <xdr:colOff>667646</xdr:colOff>
      <xdr:row>55</xdr:row>
      <xdr:rowOff>83820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B74A874-03FB-40F8-A3B4-70FA53F5399A}"/>
            </a:ext>
          </a:extLst>
        </xdr:cNvPr>
        <xdr:cNvSpPr/>
      </xdr:nvSpPr>
      <xdr:spPr>
        <a:xfrm>
          <a:off x="696221" y="10894695"/>
          <a:ext cx="1181100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618116</xdr:colOff>
      <xdr:row>53</xdr:row>
      <xdr:rowOff>140970</xdr:rowOff>
    </xdr:from>
    <xdr:to>
      <xdr:col>1</xdr:col>
      <xdr:colOff>618116</xdr:colOff>
      <xdr:row>55</xdr:row>
      <xdr:rowOff>85725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43664D34-CDD4-4BEC-9EA7-ED9E32A083D7}"/>
            </a:ext>
          </a:extLst>
        </xdr:cNvPr>
        <xdr:cNvCxnSpPr/>
      </xdr:nvCxnSpPr>
      <xdr:spPr>
        <a:xfrm>
          <a:off x="1208666" y="11628120"/>
          <a:ext cx="0" cy="344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610496</xdr:colOff>
      <xdr:row>50</xdr:row>
      <xdr:rowOff>7620</xdr:rowOff>
    </xdr:from>
    <xdr:to>
      <xdr:col>1</xdr:col>
      <xdr:colOff>618116</xdr:colOff>
      <xdr:row>52</xdr:row>
      <xdr:rowOff>45720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2C384166-21D1-4F56-8193-4AD87ADAB268}"/>
            </a:ext>
          </a:extLst>
        </xdr:cNvPr>
        <xdr:cNvCxnSpPr/>
      </xdr:nvCxnSpPr>
      <xdr:spPr>
        <a:xfrm flipH="1" flipV="1">
          <a:off x="1201046" y="10894695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296171</xdr:colOff>
      <xdr:row>52</xdr:row>
      <xdr:rowOff>137160</xdr:rowOff>
    </xdr:from>
    <xdr:to>
      <xdr:col>2</xdr:col>
      <xdr:colOff>654311</xdr:colOff>
      <xdr:row>52</xdr:row>
      <xdr:rowOff>137160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E53D89D1-2AA7-4ED0-8859-B73D7238DFCC}"/>
            </a:ext>
          </a:extLst>
        </xdr:cNvPr>
        <xdr:cNvCxnSpPr/>
      </xdr:nvCxnSpPr>
      <xdr:spPr>
        <a:xfrm>
          <a:off x="1505846" y="11424285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104775</xdr:colOff>
      <xdr:row>52</xdr:row>
      <xdr:rowOff>145733</xdr:rowOff>
    </xdr:from>
    <xdr:to>
      <xdr:col>1</xdr:col>
      <xdr:colOff>505721</xdr:colOff>
      <xdr:row>52</xdr:row>
      <xdr:rowOff>152400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E915545-A617-4B46-8C88-C1D7ED9473CF}"/>
            </a:ext>
          </a:extLst>
        </xdr:cNvPr>
        <xdr:cNvCxnSpPr/>
      </xdr:nvCxnSpPr>
      <xdr:spPr>
        <a:xfrm flipH="1">
          <a:off x="695325" y="11432858"/>
          <a:ext cx="400946" cy="6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86328</xdr:colOff>
      <xdr:row>52</xdr:row>
      <xdr:rowOff>134815</xdr:rowOff>
    </xdr:from>
    <xdr:to>
      <xdr:col>1</xdr:col>
      <xdr:colOff>105671</xdr:colOff>
      <xdr:row>52</xdr:row>
      <xdr:rowOff>136574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1C94B727-8F3C-4398-AD43-21D862D84BF6}"/>
            </a:ext>
          </a:extLst>
        </xdr:cNvPr>
        <xdr:cNvCxnSpPr/>
      </xdr:nvCxnSpPr>
      <xdr:spPr>
        <a:xfrm>
          <a:off x="86328" y="11421940"/>
          <a:ext cx="609893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661862</xdr:colOff>
      <xdr:row>52</xdr:row>
      <xdr:rowOff>129247</xdr:rowOff>
    </xdr:from>
    <xdr:to>
      <xdr:col>3</xdr:col>
      <xdr:colOff>540011</xdr:colOff>
      <xdr:row>52</xdr:row>
      <xdr:rowOff>131006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9EE7B8B4-3B7E-4AEA-87CE-00AD619C0605}"/>
            </a:ext>
          </a:extLst>
        </xdr:cNvPr>
        <xdr:cNvCxnSpPr/>
      </xdr:nvCxnSpPr>
      <xdr:spPr>
        <a:xfrm>
          <a:off x="1871537" y="11416372"/>
          <a:ext cx="630624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618116</xdr:colOff>
      <xdr:row>55</xdr:row>
      <xdr:rowOff>83820</xdr:rowOff>
    </xdr:from>
    <xdr:to>
      <xdr:col>1</xdr:col>
      <xdr:colOff>618116</xdr:colOff>
      <xdr:row>58</xdr:row>
      <xdr:rowOff>144780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D01D098D-3BCD-405E-901E-E71D1DF64AC0}"/>
            </a:ext>
          </a:extLst>
        </xdr:cNvPr>
        <xdr:cNvCxnSpPr>
          <a:stCxn id="50" idx="2"/>
        </xdr:cNvCxnSpPr>
      </xdr:nvCxnSpPr>
      <xdr:spPr>
        <a:xfrm>
          <a:off x="1208666" y="11971020"/>
          <a:ext cx="0" cy="661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618116</xdr:colOff>
      <xdr:row>46</xdr:row>
      <xdr:rowOff>167640</xdr:rowOff>
    </xdr:from>
    <xdr:to>
      <xdr:col>1</xdr:col>
      <xdr:colOff>618116</xdr:colOff>
      <xdr:row>50</xdr:row>
      <xdr:rowOff>7620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A38C474-D9D1-41BE-AA19-6378E58841DB}"/>
            </a:ext>
          </a:extLst>
        </xdr:cNvPr>
        <xdr:cNvCxnSpPr>
          <a:stCxn id="50" idx="0"/>
        </xdr:cNvCxnSpPr>
      </xdr:nvCxnSpPr>
      <xdr:spPr>
        <a:xfrm flipV="1">
          <a:off x="1208666" y="10254615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17145</xdr:colOff>
      <xdr:row>50</xdr:row>
      <xdr:rowOff>7620</xdr:rowOff>
    </xdr:from>
    <xdr:to>
      <xdr:col>7</xdr:col>
      <xdr:colOff>588645</xdr:colOff>
      <xdr:row>55</xdr:row>
      <xdr:rowOff>83820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71BBF553-6451-4BA3-8EC0-13ABD6FF987F}"/>
            </a:ext>
          </a:extLst>
        </xdr:cNvPr>
        <xdr:cNvSpPr/>
      </xdr:nvSpPr>
      <xdr:spPr>
        <a:xfrm>
          <a:off x="3846195" y="10894695"/>
          <a:ext cx="1209675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52</xdr:row>
      <xdr:rowOff>123825</xdr:rowOff>
    </xdr:from>
    <xdr:to>
      <xdr:col>6</xdr:col>
      <xdr:colOff>16852</xdr:colOff>
      <xdr:row>52</xdr:row>
      <xdr:rowOff>125290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AAE2CDBD-A0AC-46F1-BB4E-FD3AB43960A3}"/>
            </a:ext>
          </a:extLst>
        </xdr:cNvPr>
        <xdr:cNvCxnSpPr/>
      </xdr:nvCxnSpPr>
      <xdr:spPr>
        <a:xfrm flipH="1" flipV="1">
          <a:off x="3219450" y="11410950"/>
          <a:ext cx="626452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529590</xdr:colOff>
      <xdr:row>55</xdr:row>
      <xdr:rowOff>83820</xdr:rowOff>
    </xdr:from>
    <xdr:to>
      <xdr:col>6</xdr:col>
      <xdr:colOff>529590</xdr:colOff>
      <xdr:row>58</xdr:row>
      <xdr:rowOff>144780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33F4C867-91A0-4E5A-AA2A-5585C95467B0}"/>
            </a:ext>
          </a:extLst>
        </xdr:cNvPr>
        <xdr:cNvCxnSpPr>
          <a:stCxn id="59" idx="2"/>
        </xdr:cNvCxnSpPr>
      </xdr:nvCxnSpPr>
      <xdr:spPr>
        <a:xfrm>
          <a:off x="4358640" y="11971020"/>
          <a:ext cx="0" cy="6610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529590</xdr:colOff>
      <xdr:row>46</xdr:row>
      <xdr:rowOff>167640</xdr:rowOff>
    </xdr:from>
    <xdr:to>
      <xdr:col>6</xdr:col>
      <xdr:colOff>529590</xdr:colOff>
      <xdr:row>50</xdr:row>
      <xdr:rowOff>7620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D322DFDA-EF2C-4EBA-9CD5-3AA813208CA5}"/>
            </a:ext>
          </a:extLst>
        </xdr:cNvPr>
        <xdr:cNvCxnSpPr>
          <a:stCxn id="59" idx="0"/>
        </xdr:cNvCxnSpPr>
      </xdr:nvCxnSpPr>
      <xdr:spPr>
        <a:xfrm flipV="1">
          <a:off x="4358640" y="10254615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52</xdr:row>
      <xdr:rowOff>142875</xdr:rowOff>
    </xdr:from>
    <xdr:to>
      <xdr:col>8</xdr:col>
      <xdr:colOff>607402</xdr:colOff>
      <xdr:row>52</xdr:row>
      <xdr:rowOff>144340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55D1F43B-C83B-4CB1-91FA-393DEF60806C}"/>
            </a:ext>
          </a:extLst>
        </xdr:cNvPr>
        <xdr:cNvCxnSpPr/>
      </xdr:nvCxnSpPr>
      <xdr:spPr>
        <a:xfrm flipH="1" flipV="1">
          <a:off x="5057775" y="11430000"/>
          <a:ext cx="607402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598170</xdr:colOff>
      <xdr:row>50</xdr:row>
      <xdr:rowOff>26670</xdr:rowOff>
    </xdr:from>
    <xdr:to>
      <xdr:col>12</xdr:col>
      <xdr:colOff>560070</xdr:colOff>
      <xdr:row>55</xdr:row>
      <xdr:rowOff>102870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B7A0EF7-5C81-4C9C-B9CF-A98953CAC131}"/>
            </a:ext>
          </a:extLst>
        </xdr:cNvPr>
        <xdr:cNvSpPr/>
      </xdr:nvSpPr>
      <xdr:spPr>
        <a:xfrm>
          <a:off x="6875145" y="10913745"/>
          <a:ext cx="1181100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581025</xdr:colOff>
      <xdr:row>52</xdr:row>
      <xdr:rowOff>142875</xdr:rowOff>
    </xdr:from>
    <xdr:to>
      <xdr:col>10</xdr:col>
      <xdr:colOff>597877</xdr:colOff>
      <xdr:row>52</xdr:row>
      <xdr:rowOff>144340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13389C44-2A36-462D-B0A1-373633B52930}"/>
            </a:ext>
          </a:extLst>
        </xdr:cNvPr>
        <xdr:cNvCxnSpPr/>
      </xdr:nvCxnSpPr>
      <xdr:spPr>
        <a:xfrm flipH="1" flipV="1">
          <a:off x="6248400" y="11430000"/>
          <a:ext cx="626452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507584</xdr:colOff>
      <xdr:row>55</xdr:row>
      <xdr:rowOff>144121</xdr:rowOff>
    </xdr:from>
    <xdr:to>
      <xdr:col>11</xdr:col>
      <xdr:colOff>507584</xdr:colOff>
      <xdr:row>57</xdr:row>
      <xdr:rowOff>157655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E38B8FB9-6BB6-4378-AE7D-664F98529108}"/>
            </a:ext>
          </a:extLst>
        </xdr:cNvPr>
        <xdr:cNvCxnSpPr/>
      </xdr:nvCxnSpPr>
      <xdr:spPr>
        <a:xfrm flipV="1">
          <a:off x="7394159" y="12031321"/>
          <a:ext cx="0" cy="4135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520919</xdr:colOff>
      <xdr:row>47</xdr:row>
      <xdr:rowOff>38757</xdr:rowOff>
    </xdr:from>
    <xdr:to>
      <xdr:col>11</xdr:col>
      <xdr:colOff>520919</xdr:colOff>
      <xdr:row>50</xdr:row>
      <xdr:rowOff>13138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4353981A-3ED5-412D-AC03-DB4C61A579FB}"/>
            </a:ext>
          </a:extLst>
        </xdr:cNvPr>
        <xdr:cNvCxnSpPr/>
      </xdr:nvCxnSpPr>
      <xdr:spPr>
        <a:xfrm flipV="1">
          <a:off x="7407494" y="10325757"/>
          <a:ext cx="0" cy="5744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565492</xdr:colOff>
      <xdr:row>52</xdr:row>
      <xdr:rowOff>148297</xdr:rowOff>
    </xdr:from>
    <xdr:to>
      <xdr:col>13</xdr:col>
      <xdr:colOff>584835</xdr:colOff>
      <xdr:row>52</xdr:row>
      <xdr:rowOff>150056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0D5D0B18-EE26-48B6-BAD4-68EAD9ECF1E2}"/>
            </a:ext>
          </a:extLst>
        </xdr:cNvPr>
        <xdr:cNvCxnSpPr/>
      </xdr:nvCxnSpPr>
      <xdr:spPr>
        <a:xfrm>
          <a:off x="8061667" y="11435422"/>
          <a:ext cx="628943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588645</xdr:colOff>
      <xdr:row>50</xdr:row>
      <xdr:rowOff>36195</xdr:rowOff>
    </xdr:from>
    <xdr:to>
      <xdr:col>17</xdr:col>
      <xdr:colOff>550545</xdr:colOff>
      <xdr:row>55</xdr:row>
      <xdr:rowOff>112395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FBC87736-F300-4B79-BB5A-E71D9844D090}"/>
            </a:ext>
          </a:extLst>
        </xdr:cNvPr>
        <xdr:cNvSpPr/>
      </xdr:nvSpPr>
      <xdr:spPr>
        <a:xfrm>
          <a:off x="9885045" y="10923270"/>
          <a:ext cx="1162050" cy="1076325"/>
        </a:xfrm>
        <a:prstGeom prst="rect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552450</xdr:colOff>
      <xdr:row>52</xdr:row>
      <xdr:rowOff>123825</xdr:rowOff>
    </xdr:from>
    <xdr:to>
      <xdr:col>15</xdr:col>
      <xdr:colOff>569302</xdr:colOff>
      <xdr:row>52</xdr:row>
      <xdr:rowOff>125290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CCFD2269-D02B-40A2-9839-638FA188DCC1}"/>
            </a:ext>
          </a:extLst>
        </xdr:cNvPr>
        <xdr:cNvCxnSpPr/>
      </xdr:nvCxnSpPr>
      <xdr:spPr>
        <a:xfrm flipH="1" flipV="1">
          <a:off x="9267825" y="11410950"/>
          <a:ext cx="616927" cy="14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70192</xdr:colOff>
      <xdr:row>52</xdr:row>
      <xdr:rowOff>129247</xdr:rowOff>
    </xdr:from>
    <xdr:to>
      <xdr:col>19</xdr:col>
      <xdr:colOff>89535</xdr:colOff>
      <xdr:row>52</xdr:row>
      <xdr:rowOff>131006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E97A6672-B737-4BB4-9F60-681A1E0F153C}"/>
            </a:ext>
          </a:extLst>
        </xdr:cNvPr>
        <xdr:cNvCxnSpPr/>
      </xdr:nvCxnSpPr>
      <xdr:spPr>
        <a:xfrm>
          <a:off x="11176342" y="11416372"/>
          <a:ext cx="628943" cy="17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521904</xdr:colOff>
      <xdr:row>47</xdr:row>
      <xdr:rowOff>96629</xdr:rowOff>
    </xdr:from>
    <xdr:to>
      <xdr:col>16</xdr:col>
      <xdr:colOff>521904</xdr:colOff>
      <xdr:row>50</xdr:row>
      <xdr:rowOff>13137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C0EC1CE-2CCD-4A2C-8918-E4FC3C03D2CB}"/>
            </a:ext>
          </a:extLst>
        </xdr:cNvPr>
        <xdr:cNvCxnSpPr/>
      </xdr:nvCxnSpPr>
      <xdr:spPr>
        <a:xfrm>
          <a:off x="10408854" y="10383629"/>
          <a:ext cx="0" cy="5165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528474</xdr:colOff>
      <xdr:row>55</xdr:row>
      <xdr:rowOff>158378</xdr:rowOff>
    </xdr:from>
    <xdr:to>
      <xdr:col>16</xdr:col>
      <xdr:colOff>528474</xdr:colOff>
      <xdr:row>58</xdr:row>
      <xdr:rowOff>39415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C2F3885A-0D1E-4703-B7B7-F92811C5D011}"/>
            </a:ext>
          </a:extLst>
        </xdr:cNvPr>
        <xdr:cNvCxnSpPr/>
      </xdr:nvCxnSpPr>
      <xdr:spPr>
        <a:xfrm>
          <a:off x="10415424" y="12045578"/>
          <a:ext cx="0" cy="4811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541916</xdr:colOff>
      <xdr:row>53</xdr:row>
      <xdr:rowOff>57150</xdr:rowOff>
    </xdr:from>
    <xdr:to>
      <xdr:col>16</xdr:col>
      <xdr:colOff>542925</xdr:colOff>
      <xdr:row>55</xdr:row>
      <xdr:rowOff>123825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7761580E-2E8D-4227-A5C9-0178DA8BB93E}"/>
            </a:ext>
          </a:extLst>
        </xdr:cNvPr>
        <xdr:cNvCxnSpPr/>
      </xdr:nvCxnSpPr>
      <xdr:spPr>
        <a:xfrm flipH="1">
          <a:off x="10428866" y="11544300"/>
          <a:ext cx="1009" cy="466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534296</xdr:colOff>
      <xdr:row>50</xdr:row>
      <xdr:rowOff>17145</xdr:rowOff>
    </xdr:from>
    <xdr:to>
      <xdr:col>16</xdr:col>
      <xdr:colOff>541916</xdr:colOff>
      <xdr:row>52</xdr:row>
      <xdr:rowOff>55245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EC7198-F49E-4D2D-AFFB-E65EEE860C42}"/>
            </a:ext>
          </a:extLst>
        </xdr:cNvPr>
        <xdr:cNvCxnSpPr/>
      </xdr:nvCxnSpPr>
      <xdr:spPr>
        <a:xfrm flipH="1" flipV="1">
          <a:off x="10421246" y="10904220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181871</xdr:colOff>
      <xdr:row>52</xdr:row>
      <xdr:rowOff>146685</xdr:rowOff>
    </xdr:from>
    <xdr:to>
      <xdr:col>17</xdr:col>
      <xdr:colOff>540011</xdr:colOff>
      <xdr:row>52</xdr:row>
      <xdr:rowOff>146685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2F2A36A4-D453-474D-A75F-0C224B06C73C}"/>
            </a:ext>
          </a:extLst>
        </xdr:cNvPr>
        <xdr:cNvCxnSpPr/>
      </xdr:nvCxnSpPr>
      <xdr:spPr>
        <a:xfrm>
          <a:off x="10678421" y="11433810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52</xdr:row>
      <xdr:rowOff>117158</xdr:rowOff>
    </xdr:from>
    <xdr:to>
      <xdr:col>16</xdr:col>
      <xdr:colOff>391421</xdr:colOff>
      <xdr:row>52</xdr:row>
      <xdr:rowOff>123825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287465A5-34C9-4548-A2C7-7E4A09DD8EE2}"/>
            </a:ext>
          </a:extLst>
        </xdr:cNvPr>
        <xdr:cNvCxnSpPr/>
      </xdr:nvCxnSpPr>
      <xdr:spPr>
        <a:xfrm flipH="1">
          <a:off x="9886950" y="11404283"/>
          <a:ext cx="391421" cy="6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577850</xdr:colOff>
      <xdr:row>53</xdr:row>
      <xdr:rowOff>57150</xdr:rowOff>
    </xdr:from>
    <xdr:to>
      <xdr:col>6</xdr:col>
      <xdr:colOff>583191</xdr:colOff>
      <xdr:row>55</xdr:row>
      <xdr:rowOff>76200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64A1EA56-1E1E-448D-8394-69405A5094D4}"/>
            </a:ext>
          </a:extLst>
        </xdr:cNvPr>
        <xdr:cNvCxnSpPr/>
      </xdr:nvCxnSpPr>
      <xdr:spPr>
        <a:xfrm>
          <a:off x="4406900" y="11544300"/>
          <a:ext cx="5341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534296</xdr:colOff>
      <xdr:row>49</xdr:row>
      <xdr:rowOff>198120</xdr:rowOff>
    </xdr:from>
    <xdr:to>
      <xdr:col>6</xdr:col>
      <xdr:colOff>541916</xdr:colOff>
      <xdr:row>52</xdr:row>
      <xdr:rowOff>36195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C36EAC5-A97D-48FB-B395-22AF0D623C1F}"/>
            </a:ext>
          </a:extLst>
        </xdr:cNvPr>
        <xdr:cNvCxnSpPr/>
      </xdr:nvCxnSpPr>
      <xdr:spPr>
        <a:xfrm flipH="1" flipV="1">
          <a:off x="4363346" y="10885170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52</xdr:row>
      <xdr:rowOff>123825</xdr:rowOff>
    </xdr:from>
    <xdr:to>
      <xdr:col>7</xdr:col>
      <xdr:colOff>587636</xdr:colOff>
      <xdr:row>52</xdr:row>
      <xdr:rowOff>127635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919918C4-C1C6-4F1C-83E2-0725B9D57CD1}"/>
            </a:ext>
          </a:extLst>
        </xdr:cNvPr>
        <xdr:cNvCxnSpPr/>
      </xdr:nvCxnSpPr>
      <xdr:spPr>
        <a:xfrm>
          <a:off x="4514850" y="11410950"/>
          <a:ext cx="540011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52</xdr:row>
      <xdr:rowOff>136208</xdr:rowOff>
    </xdr:from>
    <xdr:to>
      <xdr:col>6</xdr:col>
      <xdr:colOff>429521</xdr:colOff>
      <xdr:row>52</xdr:row>
      <xdr:rowOff>142875</xdr:rowOff>
    </xdr:to>
    <xdr:cxnSp macro="">
      <xdr:nvCxnSpPr>
        <xdr:cNvPr id="81" name="Straight Arrow Connector 80">
          <a:extLst>
            <a:ext uri="{FF2B5EF4-FFF2-40B4-BE49-F238E27FC236}">
              <a16:creationId xmlns:a16="http://schemas.microsoft.com/office/drawing/2014/main" id="{24CCF6B5-C27F-4A95-98B1-686871E7A1BA}"/>
            </a:ext>
          </a:extLst>
        </xdr:cNvPr>
        <xdr:cNvCxnSpPr/>
      </xdr:nvCxnSpPr>
      <xdr:spPr>
        <a:xfrm flipH="1">
          <a:off x="3857625" y="11423333"/>
          <a:ext cx="400946" cy="6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582386</xdr:colOff>
      <xdr:row>53</xdr:row>
      <xdr:rowOff>40821</xdr:rowOff>
    </xdr:from>
    <xdr:to>
      <xdr:col>11</xdr:col>
      <xdr:colOff>590902</xdr:colOff>
      <xdr:row>55</xdr:row>
      <xdr:rowOff>137976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DFE942F9-3D7C-470B-9572-B600139CFF28}"/>
            </a:ext>
          </a:extLst>
        </xdr:cNvPr>
        <xdr:cNvCxnSpPr/>
      </xdr:nvCxnSpPr>
      <xdr:spPr>
        <a:xfrm>
          <a:off x="7468961" y="11527971"/>
          <a:ext cx="8516" cy="497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529041</xdr:colOff>
      <xdr:row>50</xdr:row>
      <xdr:rowOff>24963</xdr:rowOff>
    </xdr:from>
    <xdr:to>
      <xdr:col>11</xdr:col>
      <xdr:colOff>536661</xdr:colOff>
      <xdr:row>52</xdr:row>
      <xdr:rowOff>63063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2DCAAA2D-92D8-46C0-BE45-82332FFE40D7}"/>
            </a:ext>
          </a:extLst>
        </xdr:cNvPr>
        <xdr:cNvCxnSpPr/>
      </xdr:nvCxnSpPr>
      <xdr:spPr>
        <a:xfrm flipH="1" flipV="1">
          <a:off x="7415616" y="10912038"/>
          <a:ext cx="762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191396</xdr:colOff>
      <xdr:row>52</xdr:row>
      <xdr:rowOff>167640</xdr:rowOff>
    </xdr:from>
    <xdr:to>
      <xdr:col>12</xdr:col>
      <xdr:colOff>549536</xdr:colOff>
      <xdr:row>52</xdr:row>
      <xdr:rowOff>167640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50E8EF47-E753-431B-8DA5-3561D6719697}"/>
            </a:ext>
          </a:extLst>
        </xdr:cNvPr>
        <xdr:cNvCxnSpPr/>
      </xdr:nvCxnSpPr>
      <xdr:spPr>
        <a:xfrm>
          <a:off x="7687571" y="11454765"/>
          <a:ext cx="358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52</xdr:row>
      <xdr:rowOff>176213</xdr:rowOff>
    </xdr:from>
    <xdr:to>
      <xdr:col>11</xdr:col>
      <xdr:colOff>391421</xdr:colOff>
      <xdr:row>52</xdr:row>
      <xdr:rowOff>182880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3BA41B50-7961-4D74-9926-0E2549D30DE6}"/>
            </a:ext>
          </a:extLst>
        </xdr:cNvPr>
        <xdr:cNvCxnSpPr/>
      </xdr:nvCxnSpPr>
      <xdr:spPr>
        <a:xfrm flipH="1">
          <a:off x="6877050" y="11463338"/>
          <a:ext cx="400946" cy="6667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1037970</xdr:colOff>
      <xdr:row>48</xdr:row>
      <xdr:rowOff>113685</xdr:rowOff>
    </xdr:from>
    <xdr:to>
      <xdr:col>19</xdr:col>
      <xdr:colOff>1489050</xdr:colOff>
      <xdr:row>48</xdr:row>
      <xdr:rowOff>152925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FE08F7FF-4E52-4468-5CFD-AA313261BC09}"/>
                </a:ext>
              </a:extLst>
            </xdr14:cNvPr>
            <xdr14:cNvContentPartPr/>
          </xdr14:nvContentPartPr>
          <xdr14:nvPr macro=""/>
          <xdr14:xfrm>
            <a:off x="12753720" y="10581660"/>
            <a:ext cx="451080" cy="392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FE08F7FF-4E52-4468-5CFD-AA313261BC0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700080" y="10473660"/>
              <a:ext cx="55872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1533330</xdr:colOff>
      <xdr:row>50</xdr:row>
      <xdr:rowOff>122955</xdr:rowOff>
    </xdr:from>
    <xdr:to>
      <xdr:col>19</xdr:col>
      <xdr:colOff>1913490</xdr:colOff>
      <xdr:row>50</xdr:row>
      <xdr:rowOff>133755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1FFD2A4-1A4C-20BA-2D75-458E4A4930DA}"/>
                </a:ext>
              </a:extLst>
            </xdr14:cNvPr>
            <xdr14:cNvContentPartPr/>
          </xdr14:nvContentPartPr>
          <xdr14:nvPr macro=""/>
          <xdr14:xfrm>
            <a:off x="13249080" y="10990980"/>
            <a:ext cx="380160" cy="108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1FFD2A4-1A4C-20BA-2D75-458E4A4930D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195440" y="10882980"/>
              <a:ext cx="48780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1742835</xdr:colOff>
      <xdr:row>49</xdr:row>
      <xdr:rowOff>199860</xdr:rowOff>
    </xdr:from>
    <xdr:to>
      <xdr:col>22</xdr:col>
      <xdr:colOff>37770</xdr:colOff>
      <xdr:row>50</xdr:row>
      <xdr:rowOff>19635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858FF3FC-C1A4-6EAB-D646-11BFA2C003E0}"/>
                </a:ext>
              </a:extLst>
            </xdr14:cNvPr>
            <xdr14:cNvContentPartPr/>
          </xdr14:nvContentPartPr>
          <xdr14:nvPr macro=""/>
          <xdr14:xfrm>
            <a:off x="16001760" y="10867860"/>
            <a:ext cx="1542960" cy="198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858FF3FC-C1A4-6EAB-D646-11BFA2C003E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5948120" y="10760220"/>
              <a:ext cx="1650600" cy="235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8T12:30:55.818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1 108,'36'-2,"0"-2,0-1,0-2,-1-2,47-17,-27 9,-14 6,0 3,0 0,59-1,128 7,-119 4,-82-1,0 2,27 6,38 3,-76-10,-1 1,1 0,-1 1,0 1,0 0,25 13,-30-13,24 10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8T12:36:30.139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29,'22'-1,"0"-2,32-6,30-4,417 10,-256 6,-142-3,-80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8T12:36:36.419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1,'1111'0,"-1063"2,53 9,44 3,-111-12,50 9,-51-6,53 3,1624-7,-801-3,-886 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6034-15D3-4F3A-8A7E-F6781D19EF70}">
  <dimension ref="A2:AM79"/>
  <sheetViews>
    <sheetView tabSelected="1" zoomScaleNormal="100" workbookViewId="0">
      <selection activeCell="G8" sqref="G8"/>
    </sheetView>
  </sheetViews>
  <sheetFormatPr defaultRowHeight="15" x14ac:dyDescent="0.25"/>
  <cols>
    <col min="1" max="1" width="8.85546875" customWidth="1"/>
    <col min="2" max="2" width="9.28515625" customWidth="1"/>
    <col min="3" max="3" width="11.28515625" customWidth="1"/>
    <col min="5" max="5" width="9.7109375" customWidth="1"/>
    <col min="7" max="7" width="10" customWidth="1"/>
    <col min="8" max="8" width="8.42578125" customWidth="1"/>
    <col min="16" max="16" width="8.42578125" customWidth="1"/>
    <col min="20" max="20" width="29" customWidth="1"/>
    <col min="22" max="22" width="48.7109375" customWidth="1"/>
    <col min="29" max="29" width="18.85546875" bestFit="1" customWidth="1"/>
    <col min="30" max="30" width="22.7109375" bestFit="1" customWidth="1"/>
    <col min="32" max="32" width="11.140625" bestFit="1" customWidth="1"/>
  </cols>
  <sheetData>
    <row r="2" spans="1:39" ht="15.75" x14ac:dyDescent="0.25">
      <c r="A2" s="30" t="s">
        <v>0</v>
      </c>
      <c r="B2" s="30"/>
      <c r="C2" s="30"/>
      <c r="D2" s="30"/>
      <c r="E2" s="30"/>
      <c r="F2" s="30"/>
      <c r="H2" s="1" t="s">
        <v>1</v>
      </c>
      <c r="I2" s="2" t="s">
        <v>2</v>
      </c>
      <c r="J2" s="2"/>
      <c r="K2" s="2"/>
      <c r="L2" s="2"/>
    </row>
    <row r="3" spans="1:39" x14ac:dyDescent="0.25">
      <c r="H3" s="3" t="s">
        <v>3</v>
      </c>
      <c r="I3" s="4">
        <v>22</v>
      </c>
      <c r="K3" t="s">
        <v>4</v>
      </c>
    </row>
    <row r="4" spans="1:39" ht="18" x14ac:dyDescent="0.35">
      <c r="A4" s="5" t="s">
        <v>5</v>
      </c>
      <c r="B4" s="5"/>
      <c r="C4" s="5"/>
      <c r="D4" s="5"/>
      <c r="E4" s="5"/>
      <c r="H4" s="3" t="s">
        <v>6</v>
      </c>
      <c r="I4" s="4">
        <v>20</v>
      </c>
      <c r="K4" t="s">
        <v>7</v>
      </c>
      <c r="AC4" s="6" t="s">
        <v>8</v>
      </c>
      <c r="AD4" s="6" t="s">
        <v>9</v>
      </c>
      <c r="AF4" s="6" t="s">
        <v>10</v>
      </c>
      <c r="AG4" s="6" t="s">
        <v>11</v>
      </c>
      <c r="AH4" s="6">
        <v>33</v>
      </c>
      <c r="AI4" s="6">
        <v>39</v>
      </c>
      <c r="AJ4" s="6">
        <v>44</v>
      </c>
      <c r="AK4" s="6">
        <v>47</v>
      </c>
      <c r="AL4" s="6">
        <v>50</v>
      </c>
      <c r="AM4" s="6">
        <v>55</v>
      </c>
    </row>
    <row r="5" spans="1:39" ht="16.5" thickBot="1" x14ac:dyDescent="0.3">
      <c r="H5" s="3" t="s">
        <v>12</v>
      </c>
      <c r="I5" s="4">
        <v>31.11</v>
      </c>
      <c r="K5" t="s">
        <v>13</v>
      </c>
      <c r="AC5" s="7" t="s">
        <v>14</v>
      </c>
      <c r="AD5" s="7">
        <v>47</v>
      </c>
      <c r="AF5" s="7">
        <v>50</v>
      </c>
      <c r="AG5" s="7" t="s">
        <v>15</v>
      </c>
      <c r="AH5" s="7">
        <v>1</v>
      </c>
      <c r="AI5" s="7">
        <v>1</v>
      </c>
      <c r="AJ5" s="7">
        <v>1</v>
      </c>
      <c r="AK5" s="7">
        <v>1</v>
      </c>
      <c r="AL5" s="7">
        <v>1</v>
      </c>
      <c r="AM5" s="7">
        <v>1</v>
      </c>
    </row>
    <row r="6" spans="1:39" ht="32.25" thickBot="1" x14ac:dyDescent="0.4">
      <c r="A6" s="8" t="s">
        <v>16</v>
      </c>
      <c r="B6" s="9">
        <f>I8*I9*I10*I11*I12</f>
        <v>46.2</v>
      </c>
      <c r="C6" s="10" t="s">
        <v>17</v>
      </c>
      <c r="AC6" s="7" t="s">
        <v>18</v>
      </c>
      <c r="AD6" s="7">
        <v>39</v>
      </c>
      <c r="AF6" s="7">
        <v>5</v>
      </c>
      <c r="AG6" s="7" t="s">
        <v>19</v>
      </c>
      <c r="AH6" s="7">
        <v>0.82</v>
      </c>
      <c r="AI6" s="7">
        <v>0.76</v>
      </c>
      <c r="AJ6" s="7">
        <v>0.73</v>
      </c>
      <c r="AK6" s="7">
        <v>0.71</v>
      </c>
      <c r="AL6" s="7">
        <v>0.7</v>
      </c>
      <c r="AM6" s="7">
        <v>0.67</v>
      </c>
    </row>
    <row r="7" spans="1:39" ht="31.5" x14ac:dyDescent="0.25">
      <c r="AC7" s="7" t="s">
        <v>20</v>
      </c>
      <c r="AD7" s="7">
        <v>47</v>
      </c>
      <c r="AF7" s="7">
        <v>25</v>
      </c>
      <c r="AG7" s="7" t="s">
        <v>21</v>
      </c>
      <c r="AH7" s="7">
        <v>0.94</v>
      </c>
      <c r="AI7" s="7">
        <v>0.92</v>
      </c>
      <c r="AJ7" s="7">
        <v>0.91</v>
      </c>
      <c r="AK7" s="7">
        <v>0.9</v>
      </c>
      <c r="AL7" s="7">
        <v>0.9</v>
      </c>
      <c r="AM7" s="7">
        <v>0.89</v>
      </c>
    </row>
    <row r="8" spans="1:39" ht="31.5" x14ac:dyDescent="0.35">
      <c r="A8" s="5" t="s">
        <v>22</v>
      </c>
      <c r="B8" s="5"/>
      <c r="C8" s="5"/>
      <c r="D8" s="5"/>
      <c r="E8" s="5"/>
      <c r="H8" s="3" t="s">
        <v>23</v>
      </c>
      <c r="I8" s="4">
        <v>44</v>
      </c>
      <c r="J8" t="s">
        <v>17</v>
      </c>
      <c r="K8" s="11" t="s">
        <v>24</v>
      </c>
      <c r="L8" s="11"/>
      <c r="M8" s="11"/>
      <c r="N8" s="11"/>
      <c r="O8" s="11"/>
      <c r="P8" s="11"/>
      <c r="AC8" s="7" t="s">
        <v>25</v>
      </c>
      <c r="AD8" s="7">
        <v>47</v>
      </c>
      <c r="AF8" s="7">
        <v>100</v>
      </c>
      <c r="AG8" s="7" t="s">
        <v>26</v>
      </c>
      <c r="AH8" s="7">
        <v>1.05</v>
      </c>
      <c r="AI8" s="7">
        <v>1.06</v>
      </c>
      <c r="AJ8" s="7">
        <v>1.07</v>
      </c>
      <c r="AK8" s="7">
        <v>1.07</v>
      </c>
      <c r="AL8" s="7">
        <v>1.08</v>
      </c>
      <c r="AM8" s="7">
        <v>1.08</v>
      </c>
    </row>
    <row r="9" spans="1:39" ht="18.75" thickBot="1" x14ac:dyDescent="0.4">
      <c r="H9" s="3" t="s">
        <v>27</v>
      </c>
      <c r="I9" s="4">
        <v>1</v>
      </c>
      <c r="K9" s="11" t="s">
        <v>28</v>
      </c>
      <c r="L9" s="11"/>
      <c r="M9" s="11"/>
      <c r="N9" s="11"/>
      <c r="O9" s="11"/>
      <c r="P9" s="11"/>
      <c r="AC9" s="7" t="s">
        <v>29</v>
      </c>
      <c r="AD9" s="7">
        <v>47</v>
      </c>
    </row>
    <row r="10" spans="1:39" ht="18.75" thickBot="1" x14ac:dyDescent="0.4">
      <c r="A10" s="8" t="s">
        <v>30</v>
      </c>
      <c r="B10" s="12">
        <f>(0.6*B6^2)/1000</f>
        <v>1.280664</v>
      </c>
      <c r="C10" s="10" t="s">
        <v>31</v>
      </c>
      <c r="H10" s="3" t="s">
        <v>32</v>
      </c>
      <c r="I10" s="4">
        <v>1.05</v>
      </c>
      <c r="K10" s="11" t="s">
        <v>33</v>
      </c>
      <c r="L10" s="11"/>
      <c r="M10" s="11"/>
      <c r="N10" s="11"/>
      <c r="O10" s="11"/>
      <c r="P10" s="11"/>
      <c r="Q10" s="13" t="s">
        <v>3</v>
      </c>
      <c r="AC10" s="7" t="s">
        <v>34</v>
      </c>
      <c r="AD10" s="7">
        <v>47</v>
      </c>
    </row>
    <row r="11" spans="1:39" ht="18" x14ac:dyDescent="0.35">
      <c r="H11" s="3" t="s">
        <v>35</v>
      </c>
      <c r="I11" s="4">
        <v>1</v>
      </c>
      <c r="K11" s="11" t="s">
        <v>36</v>
      </c>
      <c r="L11" s="11"/>
      <c r="M11" s="11"/>
      <c r="N11" s="11"/>
      <c r="O11" s="11"/>
      <c r="P11" s="11"/>
      <c r="AC11" s="7" t="s">
        <v>37</v>
      </c>
      <c r="AD11" s="7">
        <v>39</v>
      </c>
    </row>
    <row r="12" spans="1:39" ht="18" x14ac:dyDescent="0.35">
      <c r="A12" s="5" t="s">
        <v>38</v>
      </c>
      <c r="B12" s="5"/>
      <c r="C12" s="5"/>
      <c r="H12" s="3" t="s">
        <v>39</v>
      </c>
      <c r="I12" s="4">
        <v>1</v>
      </c>
      <c r="K12" s="11" t="s">
        <v>40</v>
      </c>
      <c r="L12" s="11"/>
      <c r="M12" s="11"/>
      <c r="N12" s="11"/>
      <c r="O12" s="11"/>
      <c r="P12" s="11"/>
      <c r="AC12" s="7" t="s">
        <v>41</v>
      </c>
      <c r="AD12" s="7">
        <v>47</v>
      </c>
    </row>
    <row r="13" spans="1:39" ht="18.75" thickBot="1" x14ac:dyDescent="0.4">
      <c r="H13" s="3" t="s">
        <v>42</v>
      </c>
      <c r="I13" s="4">
        <v>0.9</v>
      </c>
      <c r="K13" s="11" t="s">
        <v>43</v>
      </c>
      <c r="L13" s="11"/>
      <c r="M13" s="11"/>
      <c r="N13" s="11"/>
      <c r="O13" s="11"/>
      <c r="P13" s="11"/>
      <c r="T13" s="13" t="s">
        <v>12</v>
      </c>
      <c r="U13" s="14"/>
      <c r="AC13" s="7" t="s">
        <v>44</v>
      </c>
      <c r="AD13" s="7">
        <v>33</v>
      </c>
    </row>
    <row r="14" spans="1:39" ht="18.75" thickBot="1" x14ac:dyDescent="0.4">
      <c r="A14" s="8" t="s">
        <v>45</v>
      </c>
      <c r="B14" s="15">
        <f>(IF((B10*I13*I14*I15)&lt;(0.7*B10),(0.7*B10),(B10*I13*I14*I15)))</f>
        <v>0.89646479999999995</v>
      </c>
      <c r="C14" s="10" t="s">
        <v>31</v>
      </c>
      <c r="H14" s="3" t="s">
        <v>46</v>
      </c>
      <c r="I14" s="4">
        <v>0.8</v>
      </c>
      <c r="K14" s="11" t="s">
        <v>47</v>
      </c>
      <c r="L14" s="11"/>
      <c r="M14" s="11"/>
      <c r="N14" s="11"/>
      <c r="O14" s="11"/>
      <c r="P14" s="11"/>
      <c r="R14" s="31" t="s">
        <v>6</v>
      </c>
      <c r="S14" s="31"/>
      <c r="AC14" s="7" t="s">
        <v>48</v>
      </c>
      <c r="AD14" s="7">
        <v>47</v>
      </c>
    </row>
    <row r="15" spans="1:39" ht="18" x14ac:dyDescent="0.35">
      <c r="H15" s="3" t="s">
        <v>49</v>
      </c>
      <c r="I15" s="4">
        <v>0.9</v>
      </c>
      <c r="K15" s="11" t="s">
        <v>50</v>
      </c>
      <c r="L15" s="11"/>
      <c r="M15" s="11"/>
      <c r="N15" s="11"/>
      <c r="O15" s="11"/>
      <c r="P15" s="11"/>
      <c r="AC15" s="7" t="s">
        <v>51</v>
      </c>
      <c r="AD15" s="7">
        <v>47</v>
      </c>
    </row>
    <row r="16" spans="1:39" ht="15.75" x14ac:dyDescent="0.25">
      <c r="AC16" s="7" t="s">
        <v>52</v>
      </c>
      <c r="AD16" s="7">
        <v>47</v>
      </c>
    </row>
    <row r="17" spans="1:30" ht="15.75" x14ac:dyDescent="0.25">
      <c r="A17" s="27" t="s">
        <v>53</v>
      </c>
      <c r="B17" s="28"/>
      <c r="C17" s="29"/>
      <c r="F17" s="10" t="s">
        <v>54</v>
      </c>
      <c r="AC17" s="7" t="s">
        <v>55</v>
      </c>
      <c r="AD17" s="7">
        <v>39</v>
      </c>
    </row>
    <row r="18" spans="1:30" ht="15.75" x14ac:dyDescent="0.25">
      <c r="F18" s="16" t="s">
        <v>56</v>
      </c>
      <c r="G18" s="16"/>
      <c r="H18" s="3">
        <v>0.2</v>
      </c>
      <c r="AC18" s="7" t="s">
        <v>57</v>
      </c>
      <c r="AD18" s="7">
        <v>39</v>
      </c>
    </row>
    <row r="19" spans="1:30" ht="15.75" x14ac:dyDescent="0.25">
      <c r="A19" s="17" t="s">
        <v>58</v>
      </c>
      <c r="B19" s="18">
        <v>0.7</v>
      </c>
      <c r="F19" s="16" t="s">
        <v>59</v>
      </c>
      <c r="G19" s="16"/>
      <c r="H19" s="3">
        <v>0.5</v>
      </c>
      <c r="AC19" s="7" t="s">
        <v>60</v>
      </c>
      <c r="AD19" s="7">
        <v>50</v>
      </c>
    </row>
    <row r="20" spans="1:30" ht="15.75" x14ac:dyDescent="0.25">
      <c r="F20" s="16" t="s">
        <v>61</v>
      </c>
      <c r="G20" s="16"/>
      <c r="H20" s="3">
        <v>0.7</v>
      </c>
      <c r="AC20" s="7" t="s">
        <v>62</v>
      </c>
      <c r="AD20" s="7">
        <v>50</v>
      </c>
    </row>
    <row r="21" spans="1:30" ht="15.75" x14ac:dyDescent="0.25">
      <c r="AC21" s="7" t="s">
        <v>63</v>
      </c>
      <c r="AD21" s="7">
        <v>47</v>
      </c>
    </row>
    <row r="22" spans="1:30" ht="15.75" x14ac:dyDescent="0.25">
      <c r="A22" s="27" t="s">
        <v>64</v>
      </c>
      <c r="B22" s="28"/>
      <c r="C22" s="29"/>
      <c r="AC22" s="7" t="s">
        <v>65</v>
      </c>
      <c r="AD22" s="7">
        <v>47</v>
      </c>
    </row>
    <row r="23" spans="1:30" ht="15.75" x14ac:dyDescent="0.25">
      <c r="AC23" s="7" t="s">
        <v>66</v>
      </c>
      <c r="AD23" s="7">
        <v>44</v>
      </c>
    </row>
    <row r="24" spans="1:30" ht="15.75" x14ac:dyDescent="0.25">
      <c r="A24" s="19" t="s">
        <v>67</v>
      </c>
      <c r="B24" s="20">
        <f>I3/I4</f>
        <v>1.1000000000000001</v>
      </c>
      <c r="AC24" s="7" t="s">
        <v>68</v>
      </c>
      <c r="AD24" s="7">
        <v>50</v>
      </c>
    </row>
    <row r="25" spans="1:30" ht="15.75" x14ac:dyDescent="0.25">
      <c r="A25" s="19" t="s">
        <v>69</v>
      </c>
      <c r="B25" s="20">
        <f>I5/I4</f>
        <v>1.5554999999999999</v>
      </c>
      <c r="T25" s="21"/>
      <c r="AC25" s="22" t="s">
        <v>70</v>
      </c>
      <c r="AD25" s="22">
        <v>39</v>
      </c>
    </row>
    <row r="26" spans="1:30" ht="15.75" x14ac:dyDescent="0.25">
      <c r="A26" s="19"/>
      <c r="B26" s="20"/>
      <c r="AC26" s="7" t="s">
        <v>71</v>
      </c>
      <c r="AD26" s="7">
        <v>47</v>
      </c>
    </row>
    <row r="27" spans="1:30" ht="15.75" x14ac:dyDescent="0.25">
      <c r="A27" s="27" t="s">
        <v>72</v>
      </c>
      <c r="B27" s="28"/>
      <c r="C27" s="29"/>
      <c r="AC27" s="7" t="s">
        <v>73</v>
      </c>
      <c r="AD27" s="7">
        <v>39</v>
      </c>
    </row>
    <row r="28" spans="1:30" ht="15.75" x14ac:dyDescent="0.25">
      <c r="A28" s="21" t="s">
        <v>74</v>
      </c>
      <c r="AC28" s="7" t="s">
        <v>75</v>
      </c>
      <c r="AD28" s="7">
        <v>50</v>
      </c>
    </row>
    <row r="29" spans="1:30" ht="15.75" x14ac:dyDescent="0.25">
      <c r="A29" s="23" t="s">
        <v>76</v>
      </c>
      <c r="AC29" s="7" t="s">
        <v>77</v>
      </c>
      <c r="AD29" s="7">
        <v>55</v>
      </c>
    </row>
    <row r="30" spans="1:30" ht="15.75" x14ac:dyDescent="0.25">
      <c r="A30" s="24" t="s">
        <v>78</v>
      </c>
      <c r="B30" s="14"/>
      <c r="AC30" s="7" t="s">
        <v>79</v>
      </c>
      <c r="AD30" s="7">
        <v>47</v>
      </c>
    </row>
    <row r="31" spans="1:30" ht="15.75" x14ac:dyDescent="0.25">
      <c r="A31" s="24" t="s">
        <v>80</v>
      </c>
      <c r="AC31" s="7" t="s">
        <v>81</v>
      </c>
      <c r="AD31" s="7">
        <v>47</v>
      </c>
    </row>
    <row r="32" spans="1:30" ht="15.75" x14ac:dyDescent="0.25">
      <c r="C32" s="32" t="s">
        <v>134</v>
      </c>
      <c r="M32" s="3">
        <f>D38</f>
        <v>-0.3</v>
      </c>
      <c r="R32" s="3">
        <f>A36</f>
        <v>0.7</v>
      </c>
      <c r="AC32" s="7" t="s">
        <v>82</v>
      </c>
      <c r="AD32" s="7">
        <v>47</v>
      </c>
    </row>
    <row r="33" spans="1:30" ht="15.75" x14ac:dyDescent="0.25">
      <c r="C33" s="4">
        <v>-0.7</v>
      </c>
      <c r="H33" s="3">
        <f>C42</f>
        <v>-0.7</v>
      </c>
      <c r="M33" s="25">
        <f>M32-L37</f>
        <v>0.39999999999999997</v>
      </c>
      <c r="R33" s="25">
        <f>R32-Q37</f>
        <v>1.4</v>
      </c>
      <c r="AC33" s="7" t="s">
        <v>83</v>
      </c>
      <c r="AD33" s="7">
        <v>47</v>
      </c>
    </row>
    <row r="34" spans="1:30" ht="15.75" x14ac:dyDescent="0.25">
      <c r="C34" s="25">
        <f>C33-C37</f>
        <v>0</v>
      </c>
      <c r="H34" s="25">
        <f>H33-G37</f>
        <v>0</v>
      </c>
      <c r="AC34" s="7" t="s">
        <v>84</v>
      </c>
      <c r="AD34" s="7">
        <v>47</v>
      </c>
    </row>
    <row r="35" spans="1:30" ht="15.75" x14ac:dyDescent="0.25">
      <c r="A35" s="32" t="s">
        <v>132</v>
      </c>
      <c r="D35" s="32" t="s">
        <v>133</v>
      </c>
      <c r="AC35" s="7" t="s">
        <v>85</v>
      </c>
      <c r="AD35" s="7">
        <v>50</v>
      </c>
    </row>
    <row r="36" spans="1:30" ht="15.75" x14ac:dyDescent="0.25">
      <c r="A36" s="4">
        <v>0.7</v>
      </c>
      <c r="D36" s="25">
        <f>D38-C37</f>
        <v>0.39999999999999997</v>
      </c>
      <c r="F36" s="25">
        <f>F38-G37</f>
        <v>0.39999999999999997</v>
      </c>
      <c r="I36" s="25">
        <f>I38-G37</f>
        <v>1.4</v>
      </c>
      <c r="K36" s="25">
        <f>K38-L37</f>
        <v>0</v>
      </c>
      <c r="N36" s="25">
        <f>N38-L37</f>
        <v>0</v>
      </c>
      <c r="P36" s="25">
        <f>P38-Q37</f>
        <v>0</v>
      </c>
      <c r="S36" s="25">
        <f>S38-Q37</f>
        <v>0</v>
      </c>
      <c r="AC36" s="7" t="s">
        <v>86</v>
      </c>
      <c r="AD36" s="7">
        <v>39</v>
      </c>
    </row>
    <row r="37" spans="1:30" ht="15.75" x14ac:dyDescent="0.25">
      <c r="C37" s="14">
        <f>-B19</f>
        <v>-0.7</v>
      </c>
      <c r="G37" s="26">
        <f>-B19</f>
        <v>-0.7</v>
      </c>
      <c r="L37">
        <f>-B19</f>
        <v>-0.7</v>
      </c>
      <c r="Q37">
        <f>-B19</f>
        <v>-0.7</v>
      </c>
      <c r="AC37" s="7" t="s">
        <v>87</v>
      </c>
      <c r="AD37" s="7">
        <v>47</v>
      </c>
    </row>
    <row r="38" spans="1:30" ht="15.75" x14ac:dyDescent="0.25">
      <c r="A38" s="25">
        <f>A36-C37</f>
        <v>1.4</v>
      </c>
      <c r="D38" s="4">
        <v>-0.3</v>
      </c>
      <c r="F38" s="3">
        <f>D38</f>
        <v>-0.3</v>
      </c>
      <c r="I38" s="3">
        <f>A36</f>
        <v>0.7</v>
      </c>
      <c r="K38" s="3">
        <f>C33</f>
        <v>-0.7</v>
      </c>
      <c r="N38" s="3">
        <f>C42</f>
        <v>-0.7</v>
      </c>
      <c r="P38" s="3">
        <f>C42</f>
        <v>-0.7</v>
      </c>
      <c r="S38" s="3">
        <f>C33</f>
        <v>-0.7</v>
      </c>
      <c r="AC38" s="7" t="s">
        <v>88</v>
      </c>
      <c r="AD38" s="7">
        <v>44</v>
      </c>
    </row>
    <row r="39" spans="1:30" ht="15.75" x14ac:dyDescent="0.25">
      <c r="AC39" s="7" t="s">
        <v>89</v>
      </c>
      <c r="AD39" s="7">
        <v>47</v>
      </c>
    </row>
    <row r="40" spans="1:30" ht="15.75" x14ac:dyDescent="0.25">
      <c r="AC40" s="7" t="s">
        <v>90</v>
      </c>
      <c r="AD40" s="7">
        <v>47</v>
      </c>
    </row>
    <row r="41" spans="1:30" ht="15.75" x14ac:dyDescent="0.25">
      <c r="C41" s="25">
        <f>C42-C37</f>
        <v>0</v>
      </c>
      <c r="H41" s="25">
        <f>H42-G37</f>
        <v>0</v>
      </c>
      <c r="M41" s="3">
        <f>A36</f>
        <v>0.7</v>
      </c>
      <c r="R41" s="3">
        <f>D38</f>
        <v>-0.3</v>
      </c>
      <c r="AC41" s="7" t="s">
        <v>91</v>
      </c>
      <c r="AD41" s="7">
        <v>47</v>
      </c>
    </row>
    <row r="42" spans="1:30" ht="15.75" x14ac:dyDescent="0.25">
      <c r="C42" s="4">
        <v>-0.7</v>
      </c>
      <c r="H42" s="3">
        <f>C33</f>
        <v>-0.7</v>
      </c>
      <c r="M42" s="25">
        <f>M41-L37</f>
        <v>1.4</v>
      </c>
      <c r="R42" s="25">
        <f>R41-Q37</f>
        <v>0.39999999999999997</v>
      </c>
      <c r="AC42" s="7" t="s">
        <v>92</v>
      </c>
      <c r="AD42" s="7">
        <v>47</v>
      </c>
    </row>
    <row r="43" spans="1:30" ht="15.75" x14ac:dyDescent="0.25">
      <c r="C43" s="32" t="s">
        <v>135</v>
      </c>
      <c r="AC43" s="7" t="s">
        <v>93</v>
      </c>
      <c r="AD43" s="7">
        <v>47</v>
      </c>
    </row>
    <row r="44" spans="1:30" ht="15.75" x14ac:dyDescent="0.25">
      <c r="AC44" s="7" t="s">
        <v>94</v>
      </c>
      <c r="AD44" s="7">
        <v>47</v>
      </c>
    </row>
    <row r="45" spans="1:30" ht="15.75" x14ac:dyDescent="0.25">
      <c r="A45" s="27" t="s">
        <v>95</v>
      </c>
      <c r="B45" s="28"/>
      <c r="C45" s="29"/>
      <c r="AC45" s="7" t="s">
        <v>96</v>
      </c>
      <c r="AD45" s="7">
        <v>47</v>
      </c>
    </row>
    <row r="46" spans="1:30" ht="15.75" x14ac:dyDescent="0.25">
      <c r="AC46" s="7" t="s">
        <v>97</v>
      </c>
      <c r="AD46" s="7">
        <v>44</v>
      </c>
    </row>
    <row r="47" spans="1:30" ht="15.75" x14ac:dyDescent="0.25">
      <c r="AC47" s="7" t="s">
        <v>98</v>
      </c>
      <c r="AD47" s="7">
        <v>39</v>
      </c>
    </row>
    <row r="48" spans="1:30" ht="15.75" x14ac:dyDescent="0.25">
      <c r="M48" s="3">
        <f>M32</f>
        <v>-0.3</v>
      </c>
      <c r="R48" s="3">
        <f>R32</f>
        <v>0.7</v>
      </c>
      <c r="AC48" s="7" t="s">
        <v>99</v>
      </c>
      <c r="AD48" s="7">
        <v>39</v>
      </c>
    </row>
    <row r="49" spans="1:30" ht="15.75" x14ac:dyDescent="0.25">
      <c r="C49" s="3">
        <f>H49</f>
        <v>-0.7</v>
      </c>
      <c r="H49" s="3">
        <f>H33</f>
        <v>-0.7</v>
      </c>
      <c r="M49" s="25">
        <f>M48-L53</f>
        <v>-1</v>
      </c>
      <c r="R49" s="25">
        <f>R48-Q53</f>
        <v>0</v>
      </c>
      <c r="AC49" s="7" t="s">
        <v>100</v>
      </c>
      <c r="AD49" s="7">
        <v>47</v>
      </c>
    </row>
    <row r="50" spans="1:30" ht="15.75" x14ac:dyDescent="0.25">
      <c r="C50" s="25">
        <f>C49-C53</f>
        <v>-1.4</v>
      </c>
      <c r="H50" s="25">
        <f>H49-G53</f>
        <v>-1.4</v>
      </c>
      <c r="AC50" s="7" t="s">
        <v>101</v>
      </c>
      <c r="AD50" s="7">
        <v>47</v>
      </c>
    </row>
    <row r="51" spans="1:30" ht="15.75" x14ac:dyDescent="0.25">
      <c r="AC51" s="7" t="s">
        <v>102</v>
      </c>
      <c r="AD51" s="7">
        <v>50</v>
      </c>
    </row>
    <row r="52" spans="1:30" ht="15.75" x14ac:dyDescent="0.25">
      <c r="A52" s="3">
        <f>A36</f>
        <v>0.7</v>
      </c>
      <c r="D52" s="25">
        <f>D54-C53</f>
        <v>-1</v>
      </c>
      <c r="F52" s="25">
        <f>F54-G53</f>
        <v>-1</v>
      </c>
      <c r="I52" s="25">
        <f>I54-G53</f>
        <v>0</v>
      </c>
      <c r="K52" s="25">
        <f>K54-L53</f>
        <v>-1.4</v>
      </c>
      <c r="N52" s="25">
        <f>N54-L53</f>
        <v>-1.4</v>
      </c>
      <c r="P52" s="25">
        <f>P54-Q53</f>
        <v>-1.4</v>
      </c>
      <c r="S52" s="25">
        <f>S54-Q53</f>
        <v>-1.4</v>
      </c>
      <c r="AC52" s="7" t="s">
        <v>103</v>
      </c>
      <c r="AD52" s="7">
        <v>39</v>
      </c>
    </row>
    <row r="53" spans="1:30" ht="15.75" x14ac:dyDescent="0.25">
      <c r="C53" s="14">
        <f>B19</f>
        <v>0.7</v>
      </c>
      <c r="G53" s="26">
        <f>B19</f>
        <v>0.7</v>
      </c>
      <c r="L53">
        <f>B19</f>
        <v>0.7</v>
      </c>
      <c r="Q53">
        <f>B19</f>
        <v>0.7</v>
      </c>
      <c r="AC53" s="7" t="s">
        <v>104</v>
      </c>
      <c r="AD53" s="7">
        <v>39</v>
      </c>
    </row>
    <row r="54" spans="1:30" ht="15.75" x14ac:dyDescent="0.25">
      <c r="A54" s="25">
        <f>A52-C53</f>
        <v>0</v>
      </c>
      <c r="D54" s="3">
        <f>D38</f>
        <v>-0.3</v>
      </c>
      <c r="F54" s="3">
        <f>D54</f>
        <v>-0.3</v>
      </c>
      <c r="I54" s="3">
        <f>A52</f>
        <v>0.7</v>
      </c>
      <c r="K54" s="3">
        <f>K38</f>
        <v>-0.7</v>
      </c>
      <c r="N54" s="3">
        <f>N38</f>
        <v>-0.7</v>
      </c>
      <c r="P54" s="3">
        <f>P38</f>
        <v>-0.7</v>
      </c>
      <c r="S54" s="3">
        <f>S38</f>
        <v>-0.7</v>
      </c>
      <c r="AC54" s="7" t="s">
        <v>105</v>
      </c>
      <c r="AD54" s="7">
        <v>39</v>
      </c>
    </row>
    <row r="55" spans="1:30" ht="15.75" x14ac:dyDescent="0.25">
      <c r="AC55" s="7" t="s">
        <v>106</v>
      </c>
      <c r="AD55" s="7">
        <v>47</v>
      </c>
    </row>
    <row r="56" spans="1:30" ht="15.75" x14ac:dyDescent="0.25">
      <c r="AC56" s="7" t="s">
        <v>107</v>
      </c>
      <c r="AD56" s="7">
        <v>33</v>
      </c>
    </row>
    <row r="57" spans="1:30" ht="15.75" x14ac:dyDescent="0.25">
      <c r="C57" s="25">
        <f>C58-C53</f>
        <v>-1.4</v>
      </c>
      <c r="H57" s="25">
        <f>H58-G53</f>
        <v>-1.4</v>
      </c>
      <c r="M57" s="3">
        <f>M41</f>
        <v>0.7</v>
      </c>
      <c r="R57" s="3">
        <f>R41</f>
        <v>-0.3</v>
      </c>
      <c r="AC57" s="7" t="s">
        <v>108</v>
      </c>
      <c r="AD57" s="7">
        <v>44</v>
      </c>
    </row>
    <row r="58" spans="1:30" ht="15.75" x14ac:dyDescent="0.25">
      <c r="C58" s="3">
        <f>H58</f>
        <v>-0.7</v>
      </c>
      <c r="H58" s="3">
        <f>H42</f>
        <v>-0.7</v>
      </c>
      <c r="M58" s="25">
        <f>M57-L53</f>
        <v>0</v>
      </c>
      <c r="R58" s="25">
        <f>R57-Q53</f>
        <v>-1</v>
      </c>
      <c r="AC58" s="7" t="s">
        <v>109</v>
      </c>
      <c r="AD58" s="7">
        <v>47</v>
      </c>
    </row>
    <row r="59" spans="1:30" ht="15.75" x14ac:dyDescent="0.25">
      <c r="AC59" s="7" t="s">
        <v>110</v>
      </c>
      <c r="AD59" s="7">
        <v>39</v>
      </c>
    </row>
    <row r="60" spans="1:30" ht="15.75" x14ac:dyDescent="0.25">
      <c r="AC60" s="7" t="s">
        <v>111</v>
      </c>
      <c r="AD60" s="7">
        <v>50</v>
      </c>
    </row>
    <row r="61" spans="1:30" ht="15.75" x14ac:dyDescent="0.25">
      <c r="AC61" s="7" t="s">
        <v>112</v>
      </c>
      <c r="AD61" s="7">
        <v>39</v>
      </c>
    </row>
    <row r="62" spans="1:30" ht="15.75" x14ac:dyDescent="0.25">
      <c r="AC62" s="7" t="s">
        <v>113</v>
      </c>
      <c r="AD62" s="7">
        <v>47</v>
      </c>
    </row>
    <row r="63" spans="1:30" ht="15.75" x14ac:dyDescent="0.25">
      <c r="AC63" s="7" t="s">
        <v>114</v>
      </c>
      <c r="AD63" s="7">
        <v>47</v>
      </c>
    </row>
    <row r="64" spans="1:30" ht="15.75" x14ac:dyDescent="0.25">
      <c r="AC64" s="7" t="s">
        <v>115</v>
      </c>
      <c r="AD64" s="7">
        <v>50</v>
      </c>
    </row>
    <row r="65" spans="13:30" ht="15.75" x14ac:dyDescent="0.25">
      <c r="AC65" s="7" t="s">
        <v>116</v>
      </c>
      <c r="AD65" s="7">
        <v>44</v>
      </c>
    </row>
    <row r="66" spans="13:30" ht="15.75" x14ac:dyDescent="0.25">
      <c r="AC66" s="7" t="s">
        <v>117</v>
      </c>
      <c r="AD66" s="7">
        <v>39</v>
      </c>
    </row>
    <row r="67" spans="13:30" ht="15.75" x14ac:dyDescent="0.25">
      <c r="AC67" s="7" t="s">
        <v>118</v>
      </c>
      <c r="AD67" s="7">
        <v>39</v>
      </c>
    </row>
    <row r="68" spans="13:30" ht="15.75" x14ac:dyDescent="0.25">
      <c r="AC68" s="7" t="s">
        <v>119</v>
      </c>
      <c r="AD68" s="7">
        <v>39</v>
      </c>
    </row>
    <row r="69" spans="13:30" ht="15.75" x14ac:dyDescent="0.25">
      <c r="AC69" s="7" t="s">
        <v>120</v>
      </c>
      <c r="AD69" s="7">
        <v>39</v>
      </c>
    </row>
    <row r="70" spans="13:30" ht="15.75" x14ac:dyDescent="0.25">
      <c r="AC70" s="7" t="s">
        <v>121</v>
      </c>
      <c r="AD70" s="7">
        <v>39</v>
      </c>
    </row>
    <row r="71" spans="13:30" ht="15.75" x14ac:dyDescent="0.25">
      <c r="AC71" s="7" t="s">
        <v>122</v>
      </c>
      <c r="AD71" s="7">
        <v>39</v>
      </c>
    </row>
    <row r="72" spans="13:30" ht="15.75" x14ac:dyDescent="0.25">
      <c r="AC72" s="7" t="s">
        <v>123</v>
      </c>
      <c r="AD72" s="7">
        <v>44</v>
      </c>
    </row>
    <row r="73" spans="13:30" ht="15.75" x14ac:dyDescent="0.25">
      <c r="AC73" s="7" t="s">
        <v>124</v>
      </c>
      <c r="AD73" s="7">
        <v>47</v>
      </c>
    </row>
    <row r="74" spans="13:30" ht="15.75" x14ac:dyDescent="0.25">
      <c r="M74" t="s">
        <v>125</v>
      </c>
      <c r="AC74" s="7" t="s">
        <v>126</v>
      </c>
      <c r="AD74" s="7">
        <v>39</v>
      </c>
    </row>
    <row r="75" spans="13:30" ht="15.75" x14ac:dyDescent="0.25">
      <c r="AC75" s="7" t="s">
        <v>127</v>
      </c>
      <c r="AD75" s="7">
        <v>47</v>
      </c>
    </row>
    <row r="76" spans="13:30" ht="15.75" x14ac:dyDescent="0.25">
      <c r="AC76" s="7" t="s">
        <v>128</v>
      </c>
      <c r="AD76" s="7">
        <v>44</v>
      </c>
    </row>
    <row r="77" spans="13:30" ht="15.75" x14ac:dyDescent="0.25">
      <c r="AC77" s="7" t="s">
        <v>129</v>
      </c>
      <c r="AD77" s="7">
        <v>47</v>
      </c>
    </row>
    <row r="78" spans="13:30" ht="15.75" x14ac:dyDescent="0.25">
      <c r="AC78" s="7" t="s">
        <v>130</v>
      </c>
      <c r="AD78" s="7">
        <v>50</v>
      </c>
    </row>
    <row r="79" spans="13:30" ht="15.75" x14ac:dyDescent="0.25">
      <c r="AC79" s="7" t="s">
        <v>131</v>
      </c>
      <c r="AD79" s="7">
        <v>50</v>
      </c>
    </row>
  </sheetData>
  <mergeCells count="6">
    <mergeCell ref="A45:C45"/>
    <mergeCell ref="A2:F2"/>
    <mergeCell ref="R14:S14"/>
    <mergeCell ref="A17:C17"/>
    <mergeCell ref="A22:C22"/>
    <mergeCell ref="A27:C27"/>
  </mergeCells>
  <dataValidations disablePrompts="1" count="2">
    <dataValidation type="list" allowBlank="1" showInputMessage="1" showErrorMessage="1" sqref="B19" xr:uid="{F9B27E78-BA80-4509-914F-505ECAE552E7}">
      <formula1>"0.2, 0.5, 0.7"</formula1>
    </dataValidation>
    <dataValidation type="list" allowBlank="1" showInputMessage="1" showErrorMessage="1" sqref="I8" xr:uid="{91495072-0B00-4C07-829B-9B3983EE3E2F}">
      <formula1>"33, 39, 44, 47, 50"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Civil Structure</dc:creator>
  <cp:lastModifiedBy>Civil Structure</cp:lastModifiedBy>
  <dcterms:created xsi:type="dcterms:W3CDTF">2025-11-10T09:16:00Z</dcterms:created>
  <dcterms:modified xsi:type="dcterms:W3CDTF">2026-03-19T13:03:07Z</dcterms:modified>
</cp:coreProperties>
</file>