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_WATER_TANK_TEMPLATE" sheetId="1" r:id="rId5"/>
  </sheets>
  <definedNames/>
  <calcPr/>
</workbook>
</file>

<file path=xl/sharedStrings.xml><?xml version="1.0" encoding="utf-8"?>
<sst xmlns="http://schemas.openxmlformats.org/spreadsheetml/2006/main" count="465" uniqueCount="320">
  <si>
    <t>SUB: Tank Foundation Design:</t>
  </si>
  <si>
    <t>{{Tank name}}</t>
  </si>
  <si>
    <t>RING BEAM (WALL)  TYPE  TANK FOUNDATION DESIGN</t>
  </si>
  <si>
    <t>INPUT DATA</t>
  </si>
  <si>
    <t>→</t>
  </si>
  <si>
    <t>TANK I.D</t>
  </si>
  <si>
    <t>{{TANK_ID}}</t>
  </si>
  <si>
    <t>M</t>
  </si>
  <si>
    <t>Tank diagram goes here</t>
  </si>
  <si>
    <t>B.C.D</t>
  </si>
  <si>
    <t>{{BCD}}</t>
  </si>
  <si>
    <t>TOTAL HEIGHT OF EQPT=</t>
  </si>
  <si>
    <t>{{H_TOTAL}}</t>
  </si>
  <si>
    <t>LIQUID LEVEL IN TANK =</t>
  </si>
  <si>
    <t>{{LIQUID_LEVEL}}</t>
  </si>
  <si>
    <t>WATER DENSITY =</t>
  </si>
  <si>
    <t>{{WATER_DENSITY}}</t>
  </si>
  <si>
    <t>KN/M3</t>
  </si>
  <si>
    <t>LIQUID DENSITY. =</t>
  </si>
  <si>
    <t>{{LIQUID_DENSITY}}</t>
  </si>
  <si>
    <t>EMPTY  WT. OF TANK =</t>
  </si>
  <si>
    <t>{{WT_EMPTY}}</t>
  </si>
  <si>
    <t>KN</t>
  </si>
  <si>
    <t>OPERATING WT. OF TANK =</t>
  </si>
  <si>
    <t>{{WT_OPERATING}}</t>
  </si>
  <si>
    <t>HYDROTEST WT. OF TANK =</t>
  </si>
  <si>
    <t>{{WT_HYDROTEST}}</t>
  </si>
  <si>
    <t>TANK BOTTOM PLATE THICKNESS=</t>
  </si>
  <si>
    <t>{{BOT_PLATE_THK}}</t>
  </si>
  <si>
    <t>MM</t>
  </si>
  <si>
    <t>THK. OF SAND BITUMIN LAYER BELOW TANK=</t>
  </si>
  <si>
    <t>{{SAND_BITU_THK}}</t>
  </si>
  <si>
    <t>THK. OF M30 CONC. LAYER BELOW TANK.=</t>
  </si>
  <si>
    <t>{{M30_CONC_THK}}</t>
  </si>
  <si>
    <t>THK. OF M75 CONC. LAYER BELOW TANK.=</t>
  </si>
  <si>
    <t>{{M75_CONC_THK}}</t>
  </si>
  <si>
    <t>HEIGHT OF RING BEAM (WALL) ABOVE G.L.=</t>
  </si>
  <si>
    <t>{{H_ABOVE_GL}}</t>
  </si>
  <si>
    <t>DEPTH OF RING BEAM FROM FDN TOP TO GL =</t>
  </si>
  <si>
    <t>{{DEPTH_FDN_TO_GL}}</t>
  </si>
  <si>
    <t>DEPTH OF RING BEAM BELOW G.L TO TOP OF FDN.=</t>
  </si>
  <si>
    <t>{{DEPTH_BELOW_GL}}</t>
  </si>
  <si>
    <t>DEPTH OF FDN RAFT. =</t>
  </si>
  <si>
    <t>{{RAFT_DEPTH}}</t>
  </si>
  <si>
    <t>THK. OF RING BEAM (WALL.)=</t>
  </si>
  <si>
    <t>{{RING_BEAM_THK}}</t>
  </si>
  <si>
    <t>WIDTH OF RING BEAM (WALL) RAFT. =</t>
  </si>
  <si>
    <t>{{RING_RAFT_WIDTH}}</t>
  </si>
  <si>
    <t>DEPTH OF TANK FDN FROM GL=</t>
  </si>
  <si>
    <t>{{FDN_DEPTH_GL}}</t>
  </si>
  <si>
    <t>S.B.C AT GIVEN FDN DEPTH.=</t>
  </si>
  <si>
    <t>{{SBC}}</t>
  </si>
  <si>
    <t>KN/M2</t>
  </si>
  <si>
    <t>S.B.C AFTER 25% INCREASE (WIND) =</t>
  </si>
  <si>
    <t>{{SBC_WIND}}</t>
  </si>
  <si>
    <t>S.B.C AFTER 25% INCREASE (EQ) =</t>
  </si>
  <si>
    <t>{{SBC_EQ}}</t>
  </si>
  <si>
    <t>CO EFFI. OF EARTH PRESSURE AT REST Ka=</t>
  </si>
  <si>
    <t>{{Ka}}</t>
  </si>
  <si>
    <t>CO EFFI. OF FRICTION, µ</t>
  </si>
  <si>
    <t>{{MU_FRICTION}}</t>
  </si>
  <si>
    <t>UNIT WEIGHT OF CONCRETE=</t>
  </si>
  <si>
    <t>{{UNIT_WT_CONC}}</t>
  </si>
  <si>
    <t>UNIT WEIGHT OF SAND =</t>
  </si>
  <si>
    <t>{{UNIT_WT_SAND}}</t>
  </si>
  <si>
    <t>UNIT WEIGHT OF SOIL=</t>
  </si>
  <si>
    <t>{{UNIT_WT_SOIL}}</t>
  </si>
  <si>
    <t>FCK. =</t>
  </si>
  <si>
    <t>{{FCK}}</t>
  </si>
  <si>
    <t>N/MM2</t>
  </si>
  <si>
    <t>Fe-500 GRADE. =</t>
  </si>
  <si>
    <t>{{FY}}</t>
  </si>
  <si>
    <t>Wind load (Force) - Fx at top of Ring Beam</t>
  </si>
  <si>
    <t>{{WIND_Fx}}</t>
  </si>
  <si>
    <t>kN</t>
  </si>
  <si>
    <t>Wind load (Moment) - M at top of Ring Beam</t>
  </si>
  <si>
    <t>{{WIND_M}}</t>
  </si>
  <si>
    <t>kN.M</t>
  </si>
  <si>
    <t>Seismic load (Force) - Fx at top of Ring Beam</t>
  </si>
  <si>
    <t>{{SEISMIC_Fx}}</t>
  </si>
  <si>
    <t>Seismic load (Moment) - M at top of Ring Beam</t>
  </si>
  <si>
    <t>{{SEISMIC_M}}</t>
  </si>
  <si>
    <t>A</t>
  </si>
  <si>
    <t>WIND LOAD CALCULATION (IS 875 PART-3)</t>
  </si>
  <si>
    <t>W.L-B.Mmax AT BASE OF FDN= Fx(Hf+(H/2))=</t>
  </si>
  <si>
    <t>X  (</t>
  </si>
  <si>
    <t>)  =</t>
  </si>
  <si>
    <t>Wind load (force) - Fx consider for calculation =</t>
  </si>
  <si>
    <t>Wind load (Moment) - M consider for calculation =</t>
  </si>
  <si>
    <t>{{WIND_M_BASE}}</t>
  </si>
  <si>
    <t>KN.M</t>
  </si>
  <si>
    <t>B</t>
  </si>
  <si>
    <t>EARTHQUAKE LOAD CALCULATION (IS 1893 Part IV - 2015)</t>
  </si>
  <si>
    <t>Earthquake load (force) - Fx consider for calculation =</t>
  </si>
  <si>
    <t>E.L-B.Mmax AT BASE OF FDN= Fx(Hf+(H/2))=</t>
  </si>
  <si>
    <t>X(</t>
  </si>
  <si>
    <t>) =</t>
  </si>
  <si>
    <t>Earthquake load (Moment) - M consider for calculation =</t>
  </si>
  <si>
    <t>{{SEISMIC_M_BASE}}</t>
  </si>
  <si>
    <t>DESIGN</t>
  </si>
  <si>
    <t>a</t>
  </si>
  <si>
    <t>E.L-B.Mmax AT BASE OF FDN=</t>
  </si>
  <si>
    <t>b</t>
  </si>
  <si>
    <t>E.L-S.Fmax AT BASE OF FDN=</t>
  </si>
  <si>
    <t>C</t>
  </si>
  <si>
    <t>AREA AND WEIGHT CALCULATION FOR FDN</t>
  </si>
  <si>
    <t>AREA OF ANNULAR RING WALL RAFT =</t>
  </si>
  <si>
    <t>{{AREA_ANNULAR_RAFT}}</t>
  </si>
  <si>
    <t>M2</t>
  </si>
  <si>
    <t>MODU. OF SEC.OF ANN. RING WALL RAFT =</t>
  </si>
  <si>
    <t>{{Z_ANNULAR_RAFT}}</t>
  </si>
  <si>
    <t>M3</t>
  </si>
  <si>
    <t>WEIGHT CALCULATION OF ANNULAR TANK BASE PLATE ON RING BEAM (WALL)</t>
  </si>
  <si>
    <t>AREA OF TANK BOTTOM PLATE =</t>
  </si>
  <si>
    <t>{{AREA_BOT_PLATE}}</t>
  </si>
  <si>
    <t>TOTAL WEIGHT OF TANK BOTTOM PLATE =</t>
  </si>
  <si>
    <t>{{WT_BOT_PLATE}}</t>
  </si>
  <si>
    <t>AREA OF ANNULAR BOTTOM PLATE =</t>
  </si>
  <si>
    <t>{{AREA_ANN_BOT_PLATE}}</t>
  </si>
  <si>
    <t>WEIGHT OF ANNULAR BASE PLATE RESTING=</t>
  </si>
  <si>
    <t>{{WT_ANN_BOT_PLATE}}</t>
  </si>
  <si>
    <t>1</t>
  </si>
  <si>
    <t>CHECK FOR SOIL PRESSURE → OPERATING WT. + WIND LOAD</t>
  </si>
  <si>
    <t>SOIL PRESSURE UNDER RING BEAM (WALL) RAFT</t>
  </si>
  <si>
    <t>A - SELF WT. OF TANK ON RING BEAM PER M =</t>
  </si>
  <si>
    <t>{{W_SELF_PER_M}}</t>
  </si>
  <si>
    <t>B - TANK BASE PLATE LOAD ON RING BEAM =</t>
  </si>
  <si>
    <t>{{W_BASE_PLATE_PER_M}}</t>
  </si>
  <si>
    <t>C - WT. OF LIQUID COL. RESTING ON RING =</t>
  </si>
  <si>
    <t>{{W_LIQUID_PER_M}}</t>
  </si>
  <si>
    <t>D - WT. OF RING BEAM (WALL) =</t>
  </si>
  <si>
    <t>{{W_RING_BEAM}}</t>
  </si>
  <si>
    <t>E - WT. OF RING BEAM RAFT =</t>
  </si>
  <si>
    <t>{{W_RING_RAFT}}</t>
  </si>
  <si>
    <t>F - WT. OF O/S SOIL ON RING BEAM FDN. =</t>
  </si>
  <si>
    <t>{{W_OUTSIDE_SOIL}}</t>
  </si>
  <si>
    <t>G - WT. OF I/S SAND ON RING BEAM FDN. =</t>
  </si>
  <si>
    <t>{{W_INSIDE_SAND}}</t>
  </si>
  <si>
    <t>{{TOTAL_W_PER_M}}</t>
  </si>
  <si>
    <t>KN/M.</t>
  </si>
  <si>
    <t>MAX SOIL PRESSURE UNDER RING BEAM RAFT</t>
  </si>
  <si>
    <t>{{P_MAX_RING_WIND}}</t>
  </si>
  <si>
    <t>{{COMP_MAX_RING_WIND}}</t>
  </si>
  <si>
    <t>MIN SOIL PRESSURE UNDER RING BEAM RAFT</t>
  </si>
  <si>
    <t>{{P_MIN_RING_WIND}}</t>
  </si>
  <si>
    <t>SOIL PRESSURE UNDER TANK FOUNDATION (INSIDE RING BEAM WALL)</t>
  </si>
  <si>
    <t>A - WT. OF TANK BOTTOM PLATE =</t>
  </si>
  <si>
    <t>{{W_BOT_PLATE}}</t>
  </si>
  <si>
    <t>B - WEIGHT OF LIQUID ON SOIL =</t>
  </si>
  <si>
    <t>{{W_LIQUID_SOIL}}</t>
  </si>
  <si>
    <t>C - WT. OF SAND BITUMEN LAYER =</t>
  </si>
  <si>
    <t>{{W_SAND_BITU}}</t>
  </si>
  <si>
    <t>D - WT. OF M30 CONC.=</t>
  </si>
  <si>
    <t>{{W_M30_CONC}}</t>
  </si>
  <si>
    <t>E - WT. OF M7.5 CONC. =</t>
  </si>
  <si>
    <t>{{W_M75_CONC}}</t>
  </si>
  <si>
    <t>F - WT. OF SAND FILLING =</t>
  </si>
  <si>
    <t>{{W_SAND_FILL}}</t>
  </si>
  <si>
    <t>{{TOTAL_W_INSIDE}}</t>
  </si>
  <si>
    <t>MAX SOIL PRESSURE UNDER TANK FDN (INSIDE RING)</t>
  </si>
  <si>
    <t>{{P_MAX_INSIDE_WIND}}</t>
  </si>
  <si>
    <t>MIN SOIL PRESSURE UNDER TANK FDN (INSIDE RING)</t>
  </si>
  <si>
    <t>{{P_MIN_INSIDE_WIND}}</t>
  </si>
  <si>
    <t>2</t>
  </si>
  <si>
    <t>CHECK FOR SOIL PRESSURE → OPERATING WT. + EQ. LOAD</t>
  </si>
  <si>
    <t>{{P_MAX_RING_EQ}}</t>
  </si>
  <si>
    <t>{{P_MIN_RING_EQ}}</t>
  </si>
  <si>
    <t>{{P_MAX_INSIDE_EQ}}</t>
  </si>
  <si>
    <t>{{P_MIN_INSIDE_EQ}}</t>
  </si>
  <si>
    <t>3</t>
  </si>
  <si>
    <t>CHECK FOR SOIL PRESSURE → HYDROTEST WT. + 0.75 WIND LOAD</t>
  </si>
  <si>
    <t>{{H_W_BOT_PLATE}}</t>
  </si>
  <si>
    <t>B - WEIGHT OF LIQUID (HYDROTEST) =</t>
  </si>
  <si>
    <t>{{H_W_LIQUID}}</t>
  </si>
  <si>
    <t>{{H_W_SAND_BITU}}</t>
  </si>
  <si>
    <t>{{H_W_M30_CONC}}</t>
  </si>
  <si>
    <t>{{H_W_M75_CONC}}</t>
  </si>
  <si>
    <t>F - WT. OF SAND/SOIL FILLING =</t>
  </si>
  <si>
    <t>{{H_W_SAND_FILL}}</t>
  </si>
  <si>
    <t>{{H_TOTAL_W_INSIDE}}</t>
  </si>
  <si>
    <t>{{P_MAX_INSIDE_HYDRO}}</t>
  </si>
  <si>
    <t>{{P_MIN_INSIDE_HYDRO}}</t>
  </si>
  <si>
    <t>4</t>
  </si>
  <si>
    <t>SLIDING CHECK EQPT IN EMPTY CONDITION</t>
  </si>
  <si>
    <t>DISTURBING FORCE (EQ. HORI FORCE)=</t>
  </si>
  <si>
    <t>EMPTY WT. OF TANK =</t>
  </si>
  <si>
    <t>WT. OF RING BEAM (WALL)=</t>
  </si>
  <si>
    <t>WT. OF RING BEAM (WALL) RAFT =</t>
  </si>
  <si>
    <t>D</t>
  </si>
  <si>
    <t>WT. OF O/S SOIL ON RING BEAM FDN RAFT =</t>
  </si>
  <si>
    <t>E</t>
  </si>
  <si>
    <t>WT. OF OF SAND BITUMEN LAYER=</t>
  </si>
  <si>
    <t>F</t>
  </si>
  <si>
    <t>WT. OF SAND BITUMEN LAYER =</t>
  </si>
  <si>
    <t>G</t>
  </si>
  <si>
    <t>WT. OF M30 CONC.=</t>
  </si>
  <si>
    <t>H</t>
  </si>
  <si>
    <t>WT. OF M7.5 CONC. =</t>
  </si>
  <si>
    <t>I</t>
  </si>
  <si>
    <t>WT. OF SAND/SOIL FILLING =</t>
  </si>
  <si>
    <t>{{TOTAL_WT_EMPTY_SLIDING}}</t>
  </si>
  <si>
    <t xml:space="preserve">RESTORING FORCE= </t>
  </si>
  <si>
    <t>{{RESTORING_FORCE}}</t>
  </si>
  <si>
    <t>µ x (WT.OF FOOTING+Fy+WT.OF SOIL)</t>
  </si>
  <si>
    <t>THEREFORE FOS=</t>
  </si>
  <si>
    <t>{{FOS_SLIDING}}</t>
  </si>
  <si>
    <t>5</t>
  </si>
  <si>
    <t>OVERTURNING CHECK EQPT IN EMPTY CONDITION</t>
  </si>
  <si>
    <t>OVERTURNING MOMENT=</t>
  </si>
  <si>
    <t xml:space="preserve">RESTORING  MOMENT= </t>
  </si>
  <si>
    <t>{{RESTORING_MOMENT}}</t>
  </si>
  <si>
    <t xml:space="preserve">(Fy+WT.OF SOIL+WT. OF FT)          </t>
  </si>
  <si>
    <t>WIDTH OF FOOTING x0.5</t>
  </si>
  <si>
    <t>{{FOS_OVERTURNING}}</t>
  </si>
  <si>
    <t>6</t>
  </si>
  <si>
    <t>CALCULATION OF HOOP TENSION IN RING BEAM (OPERATING + WIND)</t>
  </si>
  <si>
    <t>SURCHARGE DUE TO LOAD ON RING BEAM KN/M</t>
  </si>
  <si>
    <t>LOAD KN/M ON RING BEAM WALL</t>
  </si>
  <si>
    <t>SELF WT. OF TANK ON RING BEAM PER M =</t>
  </si>
  <si>
    <t>TANK BASE PLATE LOAD ON RING BEAM =</t>
  </si>
  <si>
    <t>WT. OF LIQUID COL. RESTING ON RING PER M.</t>
  </si>
  <si>
    <t>WT. OF RING BEAM WALL</t>
  </si>
  <si>
    <t>TOTAL</t>
  </si>
  <si>
    <t>{{TOTAL_LOAD_PER_M}}</t>
  </si>
  <si>
    <t>KN/M./M</t>
  </si>
  <si>
    <t>LOAD KN/M DUE TO WIND  ON RING BEAM=</t>
  </si>
  <si>
    <t>{{WIND_LOAD_PER_M}}</t>
  </si>
  <si>
    <t>KN/M</t>
  </si>
  <si>
    <t>SURCHARGE DUE TO LOAD ON  BEAM KN/M =</t>
  </si>
  <si>
    <t>{{SURCHARGE_LOAD}}</t>
  </si>
  <si>
    <t>(LOAD x HEIGHT OF WALL x Ka)</t>
  </si>
  <si>
    <t>SURCHARGE  DUE TO CONFINED SOIL =</t>
  </si>
  <si>
    <t>{{SURCHARGE_SOIL}}</t>
  </si>
  <si>
    <t>(0.5 x (HEIGHT OF RING WALL)2x SOIL DENSITY xKa )</t>
  </si>
  <si>
    <t xml:space="preserve">TOTAL HOOP TENSION=   </t>
  </si>
  <si>
    <t>{{TOTAL_HOOP_TENSION}}</t>
  </si>
  <si>
    <t>(TOTAL OF SURCHARE)x (0.5 x C/C DIA OF RING BEAM)</t>
  </si>
  <si>
    <t>7</t>
  </si>
  <si>
    <t>REINF. CALCULATION FOR RING BEAM</t>
  </si>
  <si>
    <t>FOR RING BEAM</t>
  </si>
  <si>
    <t>HOOP TENSION. (KN)</t>
  </si>
  <si>
    <t>{{HOOP_TENSION_KN}}</t>
  </si>
  <si>
    <t>AREA OF REINF. (MM2)</t>
  </si>
  <si>
    <t>{{AST_REQ_HOOP}}</t>
  </si>
  <si>
    <t>MINIMUN HORIZONTAL REINF= 0.20% OF C/S =</t>
  </si>
  <si>
    <t>{{AST_MIN_HOOP}}</t>
  </si>
  <si>
    <t>AREA OF HORI .REINF. REQ. ON EACH FACE</t>
  </si>
  <si>
    <t>{{AST_REQ_EACH_FACE}}</t>
  </si>
  <si>
    <t>MM2</t>
  </si>
  <si>
    <t>PROVIDE REINF ON EACH FACE OF RING</t>
  </si>
  <si>
    <t>{{HORI_BAR_DIA}}</t>
  </si>
  <si>
    <t>{{HORI_SPACING_REQ}}</t>
  </si>
  <si>
    <t>C/C</t>
  </si>
  <si>
    <t xml:space="preserve">PROVIDE MAIN REINF. </t>
  </si>
  <si>
    <t>{{HORI_SPACING_PROV}}</t>
  </si>
  <si>
    <t>REINF. PROVIDED</t>
  </si>
  <si>
    <t>{{AST_PROV_HOOP}}</t>
  </si>
  <si>
    <t>8</t>
  </si>
  <si>
    <t>FINDING RING WALL THICKNESS</t>
  </si>
  <si>
    <t>LET  t BE THE THICNESS OF WALL IN MM</t>
  </si>
  <si>
    <t>σct FOR M30 CONCRETE=</t>
  </si>
  <si>
    <t>THEREFORE t=(1/1000)[(T/σct)-((m-1)xAs)]=</t>
  </si>
  <si>
    <t>{{T_WALL_REQ}}</t>
  </si>
  <si>
    <t>PROVIDE THICKNESS OF WALL=</t>
  </si>
  <si>
    <t>{{T_WALL_PROV}}</t>
  </si>
  <si>
    <t>9</t>
  </si>
  <si>
    <t>VERTICAL REINF. (MINIMUM STEEL)</t>
  </si>
  <si>
    <t>MINIMUM STEEL = 0.12%</t>
  </si>
  <si>
    <t xml:space="preserve">TOTAL AST. </t>
  </si>
  <si>
    <t>{{AST_VERT_TOTAL}}</t>
  </si>
  <si>
    <t>AST. ON EACH FACE</t>
  </si>
  <si>
    <t>{{AST_VERT_EACH_FACE}}</t>
  </si>
  <si>
    <t>PROVIDE REINF. ON EACH FACE</t>
  </si>
  <si>
    <t>{{VERT_BAR_DIA}}</t>
  </si>
  <si>
    <t>{{VERT_SPACING_REQ}}</t>
  </si>
  <si>
    <t>{{VERT_SPACING_PROV}}</t>
  </si>
  <si>
    <t>{{AST_PROV_VERT}}</t>
  </si>
  <si>
    <t>10</t>
  </si>
  <si>
    <t>DESIGN OF RING WALL BASE RAFT.</t>
  </si>
  <si>
    <t>SOIL PRESSURE UNDER RAFT. (KN/M2)</t>
  </si>
  <si>
    <t>{{P_SOIL_RAFT}}</t>
  </si>
  <si>
    <t>CANTILEVER MOMENT AT FACE OF WALL BOT.</t>
  </si>
  <si>
    <t>{{M_CANTILEVER}}</t>
  </si>
  <si>
    <t>PROVIDE D= 300 MM</t>
  </si>
  <si>
    <t>Mu=</t>
  </si>
  <si>
    <t>{{Mu_RAFT}}</t>
  </si>
  <si>
    <t>de req= sqrt( Mu/ (0.138x20x1000)= sqrt(</t>
  </si>
  <si>
    <t>{{d_REQ_RAFT}}</t>
  </si>
  <si>
    <t>de PROVIDED=</t>
  </si>
  <si>
    <t>{{d_PROV_RAFT}}</t>
  </si>
  <si>
    <t>b=1000</t>
  </si>
  <si>
    <t>REINF. CALCULATION FOR BASE RAFT</t>
  </si>
  <si>
    <t>ptreq=(50*fck/fy)(1-sqrt(1-4.6 x Mu/fck b d2)) =</t>
  </si>
  <si>
    <t>{{PT_REQ_RAFT}}</t>
  </si>
  <si>
    <t>%</t>
  </si>
  <si>
    <t xml:space="preserve">Ast req/ m width = </t>
  </si>
  <si>
    <t>{{AST_REQ_RAFT}}</t>
  </si>
  <si>
    <t xml:space="preserve">REQUIRED MAIN REINF. </t>
  </si>
  <si>
    <t>{{RAFT_BAR_DIA}}</t>
  </si>
  <si>
    <t>{{RAFT_SPACING_REQ}}</t>
  </si>
  <si>
    <t>{{RAFT_SPACING_PROV}}</t>
  </si>
  <si>
    <t xml:space="preserve">Astprovided = </t>
  </si>
  <si>
    <t>{{AST_PROV_RAFT}}</t>
  </si>
  <si>
    <t>mm2</t>
  </si>
  <si>
    <t>11</t>
  </si>
  <si>
    <t>CONCLUSION</t>
  </si>
  <si>
    <t>DIA OF RING WALL (BCD)=</t>
  </si>
  <si>
    <t>WIDTH OF RING WALL.=</t>
  </si>
  <si>
    <t>WIDTH OF RING WALL FDN. RAFT =</t>
  </si>
  <si>
    <t>THK. OF RING WALL FDN. RAFT.=</t>
  </si>
  <si>
    <t>DEPTH OF TANK FDN=</t>
  </si>
  <si>
    <t>HORI. REINF. FOR RING BEAM (BOTH FACES) =</t>
  </si>
  <si>
    <t>{{HORI_BAR_DIA}} TOR @</t>
  </si>
  <si>
    <t>{{HORI_SPACING_PROV}} C/C</t>
  </si>
  <si>
    <t>VERTI. REINF. FOR RING BEAM (BOTH FACES) =</t>
  </si>
  <si>
    <t>{{VERT_BAR_DIA}} TOR @</t>
  </si>
  <si>
    <t>{{VERT_SPACING_PROV}} C/C</t>
  </si>
  <si>
    <t>REINF. IN RING WALL FDN RAFT (TOP &amp; BOTTOM) =</t>
  </si>
  <si>
    <t>{{RAFT_BAR_DIA}} TOR @</t>
  </si>
  <si>
    <t>{{RAFT_SPACING_PROV}} C/C BOTHWAYS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</si>
</sst>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000000"/>
      <name val="Arial"/>
    </font>
    <font/>
    <font>
      <sz val="11.0"/>
      <color rgb="FF000000"/>
      <name val="Arial"/>
    </font>
    <font>
      <color theme="1"/>
      <name val="Calibri"/>
      <scheme val="minor"/>
    </font>
    <font>
      <sz val="13.0"/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rgb="FFFF99CC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2" fontId="1" numFmtId="0" xfId="0" applyAlignment="1" applyBorder="1" applyFont="1">
      <alignment horizontal="left" readingOrder="0" vertical="center"/>
    </xf>
    <xf borderId="3" fillId="0" fontId="2" numFmtId="0" xfId="0" applyBorder="1" applyFont="1"/>
    <xf borderId="2" fillId="2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3" fontId="3" numFmtId="0" xfId="0" applyAlignment="1" applyBorder="1" applyFill="1" applyFont="1">
      <alignment horizontal="right" shrinkToFit="0" vertical="center" wrapText="0"/>
    </xf>
    <xf borderId="4" fillId="4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1" fillId="3" fontId="3" numFmtId="0" xfId="0" applyAlignment="1" applyBorder="1" applyFont="1">
      <alignment horizontal="right" vertical="center"/>
    </xf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ont="1">
      <alignment horizontal="right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4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0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left" vertical="center"/>
    </xf>
    <xf borderId="2" fillId="5" fontId="1" numFmtId="0" xfId="0" applyAlignment="1" applyBorder="1" applyFont="1">
      <alignment horizontal="left" vertical="center"/>
    </xf>
    <xf borderId="12" fillId="0" fontId="2" numFmtId="0" xfId="0" applyBorder="1" applyFont="1"/>
    <xf borderId="1" fillId="5" fontId="1" numFmtId="0" xfId="0" applyAlignment="1" applyBorder="1" applyFont="1">
      <alignment horizontal="left" vertical="center"/>
    </xf>
    <xf borderId="0" fillId="0" fontId="6" numFmtId="0" xfId="0" applyAlignment="1" applyFont="1">
      <alignment readingOrder="0"/>
    </xf>
    <xf borderId="1" fillId="3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61.14"/>
    <col customWidth="1" min="3" max="3" width="15.0"/>
    <col customWidth="1" min="4" max="4" width="5.0"/>
    <col customWidth="1" min="5" max="5" width="10.0"/>
    <col customWidth="1" min="6" max="6" width="5.0"/>
    <col customWidth="1" min="7" max="7" width="10.0"/>
    <col customWidth="1" min="8" max="8" width="4.0"/>
    <col customWidth="1" min="9" max="9" width="12.0"/>
    <col customWidth="1" min="10" max="10" width="11.43"/>
    <col customWidth="1" min="11" max="11" width="15.0"/>
    <col customWidth="1" min="12" max="26" width="8.71"/>
  </cols>
  <sheetData>
    <row r="1">
      <c r="B1" s="1" t="s">
        <v>0</v>
      </c>
      <c r="C1" s="2" t="s">
        <v>1</v>
      </c>
      <c r="D1" s="3"/>
      <c r="E1" s="4"/>
      <c r="F1" s="4"/>
      <c r="G1" s="4"/>
      <c r="H1" s="4"/>
      <c r="I1" s="4"/>
    </row>
    <row r="3">
      <c r="B3" s="5" t="s">
        <v>2</v>
      </c>
    </row>
    <row r="5">
      <c r="B5" s="5" t="s">
        <v>3</v>
      </c>
    </row>
    <row r="7">
      <c r="A7" s="6" t="s">
        <v>4</v>
      </c>
      <c r="B7" s="6" t="s">
        <v>5</v>
      </c>
      <c r="C7" s="7" t="s">
        <v>6</v>
      </c>
      <c r="D7" s="6" t="s">
        <v>7</v>
      </c>
      <c r="G7" s="8" t="s">
        <v>8</v>
      </c>
      <c r="H7" s="9"/>
      <c r="I7" s="9"/>
      <c r="J7" s="9"/>
      <c r="K7" s="9"/>
      <c r="L7" s="10"/>
    </row>
    <row r="8">
      <c r="A8" s="6" t="s">
        <v>4</v>
      </c>
      <c r="B8" s="6" t="s">
        <v>9</v>
      </c>
      <c r="C8" s="11" t="s">
        <v>10</v>
      </c>
      <c r="D8" s="6" t="s">
        <v>7</v>
      </c>
      <c r="G8" s="12"/>
      <c r="L8" s="13"/>
    </row>
    <row r="9">
      <c r="A9" s="6" t="s">
        <v>4</v>
      </c>
      <c r="B9" s="6" t="s">
        <v>11</v>
      </c>
      <c r="C9" s="11" t="s">
        <v>12</v>
      </c>
      <c r="D9" s="6" t="s">
        <v>7</v>
      </c>
      <c r="G9" s="12"/>
      <c r="L9" s="13"/>
    </row>
    <row r="10">
      <c r="A10" s="6" t="s">
        <v>4</v>
      </c>
      <c r="B10" s="6" t="s">
        <v>13</v>
      </c>
      <c r="C10" s="11" t="s">
        <v>14</v>
      </c>
      <c r="D10" s="6" t="s">
        <v>7</v>
      </c>
      <c r="G10" s="12"/>
      <c r="L10" s="13"/>
    </row>
    <row r="11">
      <c r="A11" s="6" t="s">
        <v>4</v>
      </c>
      <c r="B11" s="6" t="s">
        <v>15</v>
      </c>
      <c r="C11" s="11" t="s">
        <v>16</v>
      </c>
      <c r="D11" s="6" t="s">
        <v>17</v>
      </c>
      <c r="G11" s="12"/>
      <c r="L11" s="13"/>
    </row>
    <row r="12">
      <c r="A12" s="6" t="s">
        <v>4</v>
      </c>
      <c r="B12" s="6" t="s">
        <v>18</v>
      </c>
      <c r="C12" s="11" t="s">
        <v>19</v>
      </c>
      <c r="D12" s="6" t="s">
        <v>17</v>
      </c>
      <c r="G12" s="12"/>
      <c r="L12" s="13"/>
    </row>
    <row r="13">
      <c r="A13" s="6" t="s">
        <v>4</v>
      </c>
      <c r="B13" s="6" t="s">
        <v>20</v>
      </c>
      <c r="C13" s="11" t="s">
        <v>21</v>
      </c>
      <c r="D13" s="6" t="s">
        <v>22</v>
      </c>
      <c r="G13" s="12"/>
      <c r="L13" s="13"/>
    </row>
    <row r="14">
      <c r="A14" s="6" t="s">
        <v>4</v>
      </c>
      <c r="B14" s="6" t="s">
        <v>23</v>
      </c>
      <c r="C14" s="11" t="s">
        <v>24</v>
      </c>
      <c r="D14" s="6" t="s">
        <v>22</v>
      </c>
      <c r="G14" s="12"/>
      <c r="L14" s="13"/>
    </row>
    <row r="15">
      <c r="A15" s="6" t="s">
        <v>4</v>
      </c>
      <c r="B15" s="6" t="s">
        <v>25</v>
      </c>
      <c r="C15" s="11" t="s">
        <v>26</v>
      </c>
      <c r="D15" s="6" t="s">
        <v>22</v>
      </c>
      <c r="G15" s="12"/>
      <c r="L15" s="13"/>
    </row>
    <row r="16">
      <c r="A16" s="6" t="s">
        <v>4</v>
      </c>
      <c r="B16" s="6" t="s">
        <v>27</v>
      </c>
      <c r="C16" s="11" t="s">
        <v>28</v>
      </c>
      <c r="D16" s="6" t="s">
        <v>29</v>
      </c>
      <c r="G16" s="12"/>
      <c r="L16" s="13"/>
    </row>
    <row r="17">
      <c r="A17" s="6" t="s">
        <v>4</v>
      </c>
      <c r="B17" s="6" t="s">
        <v>30</v>
      </c>
      <c r="C17" s="11" t="s">
        <v>31</v>
      </c>
      <c r="D17" s="6" t="s">
        <v>7</v>
      </c>
      <c r="G17" s="12"/>
      <c r="L17" s="13"/>
    </row>
    <row r="18">
      <c r="A18" s="6" t="s">
        <v>4</v>
      </c>
      <c r="B18" s="6" t="s">
        <v>32</v>
      </c>
      <c r="C18" s="11" t="s">
        <v>33</v>
      </c>
      <c r="D18" s="6" t="s">
        <v>7</v>
      </c>
      <c r="G18" s="12"/>
      <c r="L18" s="13"/>
    </row>
    <row r="19">
      <c r="A19" s="6" t="s">
        <v>4</v>
      </c>
      <c r="B19" s="6" t="s">
        <v>34</v>
      </c>
      <c r="C19" s="11" t="s">
        <v>35</v>
      </c>
      <c r="D19" s="6" t="s">
        <v>7</v>
      </c>
      <c r="G19" s="12"/>
      <c r="L19" s="13"/>
    </row>
    <row r="20">
      <c r="A20" s="6" t="s">
        <v>4</v>
      </c>
      <c r="B20" s="6" t="s">
        <v>36</v>
      </c>
      <c r="C20" s="11" t="s">
        <v>37</v>
      </c>
      <c r="D20" s="6" t="s">
        <v>7</v>
      </c>
      <c r="G20" s="12"/>
      <c r="L20" s="13"/>
    </row>
    <row r="21" ht="15.75" customHeight="1">
      <c r="B21" s="6" t="s">
        <v>38</v>
      </c>
      <c r="C21" s="14" t="s">
        <v>39</v>
      </c>
      <c r="D21" s="6" t="s">
        <v>7</v>
      </c>
      <c r="G21" s="12"/>
      <c r="L21" s="13"/>
    </row>
    <row r="22" ht="15.75" customHeight="1">
      <c r="B22" s="6" t="s">
        <v>40</v>
      </c>
      <c r="C22" s="14" t="s">
        <v>41</v>
      </c>
      <c r="D22" s="6" t="s">
        <v>7</v>
      </c>
      <c r="G22" s="12"/>
      <c r="L22" s="13"/>
    </row>
    <row r="23" ht="15.75" customHeight="1">
      <c r="A23" s="6" t="s">
        <v>4</v>
      </c>
      <c r="B23" s="6" t="s">
        <v>42</v>
      </c>
      <c r="C23" s="11" t="s">
        <v>43</v>
      </c>
      <c r="D23" s="6" t="s">
        <v>7</v>
      </c>
      <c r="G23" s="12"/>
      <c r="L23" s="13"/>
    </row>
    <row r="24" ht="15.75" customHeight="1">
      <c r="A24" s="6" t="s">
        <v>4</v>
      </c>
      <c r="B24" s="6" t="s">
        <v>44</v>
      </c>
      <c r="C24" s="11" t="s">
        <v>45</v>
      </c>
      <c r="D24" s="6" t="s">
        <v>7</v>
      </c>
      <c r="G24" s="12"/>
      <c r="L24" s="13"/>
    </row>
    <row r="25" ht="15.75" customHeight="1">
      <c r="A25" s="6" t="s">
        <v>4</v>
      </c>
      <c r="B25" s="6" t="s">
        <v>46</v>
      </c>
      <c r="C25" s="11" t="s">
        <v>47</v>
      </c>
      <c r="D25" s="6" t="s">
        <v>7</v>
      </c>
      <c r="G25" s="15"/>
      <c r="H25" s="16"/>
      <c r="I25" s="16"/>
      <c r="J25" s="16"/>
      <c r="K25" s="16"/>
      <c r="L25" s="17"/>
    </row>
    <row r="26" ht="15.75" customHeight="1">
      <c r="A26" s="6" t="s">
        <v>4</v>
      </c>
      <c r="B26" s="6" t="s">
        <v>48</v>
      </c>
      <c r="C26" s="11" t="s">
        <v>49</v>
      </c>
      <c r="D26" s="6" t="s">
        <v>7</v>
      </c>
    </row>
    <row r="27" ht="15.75" customHeight="1">
      <c r="A27" s="6" t="s">
        <v>4</v>
      </c>
      <c r="B27" s="6" t="s">
        <v>50</v>
      </c>
      <c r="C27" s="11" t="s">
        <v>51</v>
      </c>
      <c r="D27" s="6" t="s">
        <v>52</v>
      </c>
    </row>
    <row r="28" ht="15.75" customHeight="1">
      <c r="B28" s="6" t="s">
        <v>53</v>
      </c>
      <c r="C28" s="14" t="s">
        <v>54</v>
      </c>
      <c r="D28" s="6" t="s">
        <v>52</v>
      </c>
    </row>
    <row r="29" ht="15.75" customHeight="1">
      <c r="B29" s="6" t="s">
        <v>55</v>
      </c>
      <c r="C29" s="14" t="s">
        <v>56</v>
      </c>
      <c r="D29" s="6" t="s">
        <v>52</v>
      </c>
    </row>
    <row r="30" ht="15.75" customHeight="1">
      <c r="A30" s="6" t="s">
        <v>4</v>
      </c>
      <c r="B30" s="6" t="s">
        <v>57</v>
      </c>
      <c r="C30" s="11" t="s">
        <v>58</v>
      </c>
    </row>
    <row r="31" ht="15.75" customHeight="1">
      <c r="A31" s="6" t="s">
        <v>4</v>
      </c>
      <c r="B31" s="6" t="s">
        <v>59</v>
      </c>
      <c r="C31" s="11" t="s">
        <v>60</v>
      </c>
    </row>
    <row r="32" ht="15.75" customHeight="1">
      <c r="A32" s="6" t="s">
        <v>4</v>
      </c>
      <c r="B32" s="6" t="s">
        <v>61</v>
      </c>
      <c r="C32" s="11" t="s">
        <v>62</v>
      </c>
      <c r="D32" s="6" t="s">
        <v>17</v>
      </c>
    </row>
    <row r="33" ht="15.75" customHeight="1">
      <c r="A33" s="6" t="s">
        <v>4</v>
      </c>
      <c r="B33" s="6" t="s">
        <v>63</v>
      </c>
      <c r="C33" s="11" t="s">
        <v>64</v>
      </c>
      <c r="D33" s="6" t="s">
        <v>17</v>
      </c>
    </row>
    <row r="34" ht="15.75" customHeight="1">
      <c r="A34" s="6" t="s">
        <v>4</v>
      </c>
      <c r="B34" s="6" t="s">
        <v>65</v>
      </c>
      <c r="C34" s="11" t="s">
        <v>66</v>
      </c>
      <c r="D34" s="6" t="s">
        <v>17</v>
      </c>
    </row>
    <row r="35" ht="15.75" customHeight="1">
      <c r="A35" s="6" t="s">
        <v>4</v>
      </c>
      <c r="B35" s="6" t="s">
        <v>67</v>
      </c>
      <c r="C35" s="11" t="s">
        <v>68</v>
      </c>
      <c r="D35" s="6" t="s">
        <v>69</v>
      </c>
    </row>
    <row r="36" ht="15.75" customHeight="1">
      <c r="A36" s="6" t="s">
        <v>4</v>
      </c>
      <c r="B36" s="6" t="s">
        <v>70</v>
      </c>
      <c r="C36" s="11" t="s">
        <v>71</v>
      </c>
      <c r="D36" s="6" t="s">
        <v>69</v>
      </c>
    </row>
    <row r="37" ht="15.75" customHeight="1">
      <c r="C37" s="18"/>
    </row>
    <row r="38" ht="15.75" customHeight="1">
      <c r="A38" s="6" t="s">
        <v>4</v>
      </c>
      <c r="B38" s="6" t="s">
        <v>72</v>
      </c>
      <c r="C38" s="11" t="s">
        <v>73</v>
      </c>
      <c r="D38" s="6" t="s">
        <v>74</v>
      </c>
    </row>
    <row r="39" ht="15.75" customHeight="1">
      <c r="A39" s="6" t="s">
        <v>4</v>
      </c>
      <c r="B39" s="6" t="s">
        <v>75</v>
      </c>
      <c r="C39" s="11" t="s">
        <v>76</v>
      </c>
      <c r="D39" s="6" t="s">
        <v>77</v>
      </c>
    </row>
    <row r="40" ht="15.75" customHeight="1">
      <c r="A40" s="6" t="s">
        <v>4</v>
      </c>
      <c r="B40" s="6" t="s">
        <v>78</v>
      </c>
      <c r="C40" s="11" t="s">
        <v>79</v>
      </c>
      <c r="D40" s="6" t="s">
        <v>74</v>
      </c>
    </row>
    <row r="41" ht="15.75" customHeight="1">
      <c r="A41" s="6" t="s">
        <v>4</v>
      </c>
      <c r="B41" s="6" t="s">
        <v>80</v>
      </c>
      <c r="C41" s="11" t="s">
        <v>81</v>
      </c>
      <c r="D41" s="6" t="s">
        <v>77</v>
      </c>
    </row>
    <row r="42" ht="15.75" customHeight="1"/>
    <row r="43" ht="15.75" customHeight="1"/>
    <row r="44" ht="15.75" customHeight="1">
      <c r="A44" s="5" t="s">
        <v>82</v>
      </c>
      <c r="B44" s="5" t="s">
        <v>83</v>
      </c>
    </row>
    <row r="45" ht="15.75" customHeight="1"/>
    <row r="46" ht="15.75" customHeight="1">
      <c r="B46" s="19" t="s">
        <v>84</v>
      </c>
      <c r="C46" s="20" t="str">
        <f>C38</f>
        <v>{{WIND_Fx}}</v>
      </c>
      <c r="D46" s="21" t="s">
        <v>85</v>
      </c>
      <c r="E46" s="22" t="str">
        <f>C26</f>
        <v>{{FDN_DEPTH_GL}}</v>
      </c>
      <c r="F46" s="23"/>
      <c r="G46" s="22" t="str">
        <f>C20</f>
        <v>{{H_ABOVE_GL}}</v>
      </c>
      <c r="I46" s="24" t="s">
        <v>86</v>
      </c>
    </row>
    <row r="47" ht="15.75" customHeight="1"/>
    <row r="48" ht="15.75" customHeight="1"/>
    <row r="49" ht="15.75" customHeight="1">
      <c r="B49" s="5" t="s">
        <v>87</v>
      </c>
      <c r="C49" s="14" t="s">
        <v>73</v>
      </c>
      <c r="D49" s="6" t="s">
        <v>22</v>
      </c>
    </row>
    <row r="50" ht="15.75" customHeight="1"/>
    <row r="51" ht="15.75" customHeight="1">
      <c r="B51" s="5" t="s">
        <v>88</v>
      </c>
      <c r="C51" s="14" t="s">
        <v>89</v>
      </c>
      <c r="D51" s="6" t="s">
        <v>90</v>
      </c>
    </row>
    <row r="52" ht="15.75" customHeight="1"/>
    <row r="53" ht="15.75" customHeight="1"/>
    <row r="54" ht="15.75" customHeight="1">
      <c r="A54" s="5" t="s">
        <v>91</v>
      </c>
      <c r="B54" s="5" t="s">
        <v>92</v>
      </c>
    </row>
    <row r="55" ht="15.75" customHeight="1"/>
    <row r="56" ht="15.75" customHeight="1">
      <c r="B56" s="5" t="s">
        <v>93</v>
      </c>
      <c r="C56" s="14" t="s">
        <v>79</v>
      </c>
      <c r="D56" s="6" t="s">
        <v>22</v>
      </c>
    </row>
    <row r="57" ht="15.75" customHeight="1"/>
    <row r="58" ht="15.75" customHeight="1">
      <c r="B58" s="19" t="s">
        <v>94</v>
      </c>
      <c r="C58" s="22" t="str">
        <f>C56</f>
        <v>{{SEISMIC_Fx}}</v>
      </c>
      <c r="D58" s="21" t="s">
        <v>95</v>
      </c>
      <c r="E58" s="18" t="str">
        <f>C21</f>
        <v>{{DEPTH_FDN_TO_GL}}</v>
      </c>
      <c r="G58" s="18" t="str">
        <f>C20</f>
        <v>{{H_ABOVE_GL}}</v>
      </c>
      <c r="I58" s="25" t="s">
        <v>96</v>
      </c>
    </row>
    <row r="59" ht="15.75" customHeight="1"/>
    <row r="60" ht="15.75" customHeight="1">
      <c r="B60" s="5" t="s">
        <v>97</v>
      </c>
      <c r="C60" s="14" t="s">
        <v>98</v>
      </c>
      <c r="D60" s="6" t="s">
        <v>90</v>
      </c>
    </row>
    <row r="61" ht="15.75" customHeight="1"/>
    <row r="62" ht="15.75" customHeight="1">
      <c r="B62" s="5" t="s">
        <v>99</v>
      </c>
    </row>
    <row r="63" ht="15.75" customHeight="1"/>
    <row r="64" ht="15.75" customHeight="1">
      <c r="A64" s="5" t="s">
        <v>100</v>
      </c>
      <c r="B64" s="5" t="s">
        <v>101</v>
      </c>
      <c r="C64" s="14" t="s">
        <v>98</v>
      </c>
      <c r="D64" s="6" t="s">
        <v>90</v>
      </c>
    </row>
    <row r="65" ht="15.75" customHeight="1"/>
    <row r="66" ht="15.75" customHeight="1">
      <c r="A66" s="5" t="s">
        <v>102</v>
      </c>
      <c r="B66" s="5" t="s">
        <v>103</v>
      </c>
      <c r="C66" s="14" t="s">
        <v>79</v>
      </c>
      <c r="D66" s="6" t="s">
        <v>22</v>
      </c>
    </row>
    <row r="67" ht="15.75" customHeight="1"/>
    <row r="68" ht="15.75" customHeight="1"/>
    <row r="69" ht="15.75" customHeight="1">
      <c r="A69" s="5" t="s">
        <v>104</v>
      </c>
      <c r="B69" s="5" t="s">
        <v>105</v>
      </c>
    </row>
    <row r="70" ht="15.75" customHeight="1"/>
    <row r="71" ht="15.75" customHeight="1">
      <c r="B71" s="6" t="s">
        <v>106</v>
      </c>
      <c r="I71" s="26" t="s">
        <v>107</v>
      </c>
      <c r="J71" s="6" t="s">
        <v>108</v>
      </c>
    </row>
    <row r="72" ht="15.75" customHeight="1"/>
    <row r="73" ht="15.75" customHeight="1">
      <c r="B73" s="6" t="s">
        <v>109</v>
      </c>
      <c r="K73" s="26" t="s">
        <v>110</v>
      </c>
    </row>
    <row r="74" ht="15.75" customHeight="1">
      <c r="K74" s="6" t="s">
        <v>111</v>
      </c>
    </row>
    <row r="75" ht="15.75" customHeight="1"/>
    <row r="76" ht="15.75" customHeight="1">
      <c r="B76" s="5" t="s">
        <v>112</v>
      </c>
    </row>
    <row r="77" ht="15.75" customHeight="1"/>
    <row r="78" ht="15.75" customHeight="1">
      <c r="B78" s="6" t="s">
        <v>113</v>
      </c>
      <c r="G78" s="26" t="s">
        <v>114</v>
      </c>
      <c r="H78" s="6" t="s">
        <v>108</v>
      </c>
    </row>
    <row r="79" ht="15.75" customHeight="1"/>
    <row r="80" ht="15.75" customHeight="1">
      <c r="B80" s="6" t="s">
        <v>115</v>
      </c>
      <c r="I80" s="26" t="s">
        <v>116</v>
      </c>
      <c r="J80" s="6" t="s">
        <v>22</v>
      </c>
    </row>
    <row r="81" ht="15.75" customHeight="1"/>
    <row r="82" ht="15.75" customHeight="1">
      <c r="B82" s="6" t="s">
        <v>117</v>
      </c>
      <c r="I82" s="26" t="s">
        <v>118</v>
      </c>
      <c r="J82" s="6" t="s">
        <v>108</v>
      </c>
    </row>
    <row r="83" ht="15.75" customHeight="1"/>
    <row r="84" ht="15.75" customHeight="1"/>
    <row r="85" ht="15.75" customHeight="1">
      <c r="B85" s="6" t="s">
        <v>119</v>
      </c>
      <c r="I85" s="26" t="s">
        <v>120</v>
      </c>
      <c r="J85" s="6" t="s">
        <v>22</v>
      </c>
    </row>
    <row r="86" ht="15.75" customHeight="1"/>
    <row r="87" ht="15.75" customHeight="1"/>
    <row r="88" ht="15.75" customHeight="1"/>
    <row r="89" ht="15.75" customHeight="1">
      <c r="A89" s="5" t="s">
        <v>121</v>
      </c>
      <c r="B89" s="5" t="s">
        <v>122</v>
      </c>
    </row>
    <row r="90" ht="15.75" customHeight="1"/>
    <row r="91" ht="15.75" customHeight="1">
      <c r="B91" s="6" t="s">
        <v>123</v>
      </c>
    </row>
    <row r="92" ht="15.75" customHeight="1"/>
    <row r="93" ht="15.75" customHeight="1">
      <c r="B93" s="6" t="s">
        <v>124</v>
      </c>
      <c r="I93" s="26" t="s">
        <v>125</v>
      </c>
    </row>
    <row r="94" ht="15.75" customHeight="1"/>
    <row r="95" ht="15.75" customHeight="1">
      <c r="B95" s="6" t="s">
        <v>126</v>
      </c>
      <c r="I95" s="26" t="s">
        <v>127</v>
      </c>
    </row>
    <row r="96" ht="15.75" customHeight="1">
      <c r="B96" s="6" t="s">
        <v>128</v>
      </c>
      <c r="I96" s="26" t="s">
        <v>129</v>
      </c>
    </row>
    <row r="97" ht="15.75" customHeight="1">
      <c r="B97" s="6" t="s">
        <v>130</v>
      </c>
      <c r="I97" s="26" t="s">
        <v>131</v>
      </c>
    </row>
    <row r="98" ht="15.75" customHeight="1">
      <c r="B98" s="6" t="s">
        <v>132</v>
      </c>
      <c r="I98" s="26" t="s">
        <v>133</v>
      </c>
    </row>
    <row r="99" ht="15.75" customHeight="1">
      <c r="B99" s="6" t="s">
        <v>134</v>
      </c>
      <c r="I99" s="26" t="s">
        <v>135</v>
      </c>
    </row>
    <row r="100" ht="15.75" customHeight="1">
      <c r="B100" s="6" t="s">
        <v>136</v>
      </c>
      <c r="I100" s="26" t="s">
        <v>137</v>
      </c>
    </row>
    <row r="101" ht="15.75" customHeight="1">
      <c r="I101" s="26" t="s">
        <v>138</v>
      </c>
      <c r="J101" s="6" t="s">
        <v>139</v>
      </c>
    </row>
    <row r="102" ht="15.75" customHeight="1"/>
    <row r="103" ht="15.75" customHeight="1">
      <c r="B103" s="6" t="s">
        <v>140</v>
      </c>
      <c r="G103" s="26" t="s">
        <v>141</v>
      </c>
      <c r="H103" s="6" t="s">
        <v>52</v>
      </c>
      <c r="I103" s="27" t="s">
        <v>142</v>
      </c>
      <c r="J103" s="26" t="s">
        <v>54</v>
      </c>
      <c r="K103" s="6" t="s">
        <v>52</v>
      </c>
    </row>
    <row r="104" ht="15.75" customHeight="1">
      <c r="K104" s="28" t="str">
        <f>IF(J103&gt;G103,"OK","CHECK")</f>
        <v>OK</v>
      </c>
    </row>
    <row r="105" ht="15.75" customHeight="1"/>
    <row r="106" ht="15.75" customHeight="1">
      <c r="B106" s="6" t="s">
        <v>143</v>
      </c>
      <c r="G106" s="26" t="s">
        <v>144</v>
      </c>
      <c r="H106" s="6" t="s">
        <v>52</v>
      </c>
    </row>
    <row r="107" ht="15.75" customHeight="1">
      <c r="I107" s="29" t="str">
        <f>IF(G106&gt;0,"NO (-) PRESSURE","(-) PRESSURE")</f>
        <v>NO (-) PRESSURE</v>
      </c>
      <c r="J107" s="3"/>
      <c r="K107" s="30"/>
    </row>
    <row r="108" ht="15.75" customHeight="1"/>
    <row r="109" ht="15.75" customHeight="1">
      <c r="B109" s="5" t="s">
        <v>145</v>
      </c>
    </row>
    <row r="110" ht="15.75" customHeight="1"/>
    <row r="111" ht="15.75" customHeight="1">
      <c r="B111" s="6" t="s">
        <v>146</v>
      </c>
      <c r="I111" s="26" t="s">
        <v>147</v>
      </c>
    </row>
    <row r="112" ht="15.75" customHeight="1">
      <c r="B112" s="6" t="s">
        <v>148</v>
      </c>
      <c r="I112" s="26" t="s">
        <v>149</v>
      </c>
    </row>
    <row r="113" ht="15.75" customHeight="1">
      <c r="B113" s="6" t="s">
        <v>150</v>
      </c>
      <c r="I113" s="26" t="s">
        <v>151</v>
      </c>
    </row>
    <row r="114" ht="15.75" customHeight="1">
      <c r="B114" s="6" t="s">
        <v>152</v>
      </c>
      <c r="I114" s="26" t="s">
        <v>153</v>
      </c>
    </row>
    <row r="115" ht="15.75" customHeight="1">
      <c r="B115" s="6" t="s">
        <v>154</v>
      </c>
      <c r="I115" s="26" t="s">
        <v>155</v>
      </c>
    </row>
    <row r="116" ht="15.75" customHeight="1">
      <c r="B116" s="6" t="s">
        <v>156</v>
      </c>
      <c r="I116" s="26" t="s">
        <v>157</v>
      </c>
    </row>
    <row r="117" ht="15.75" customHeight="1">
      <c r="I117" s="26" t="s">
        <v>158</v>
      </c>
      <c r="J117" s="6" t="s">
        <v>22</v>
      </c>
    </row>
    <row r="118" ht="15.75" customHeight="1"/>
    <row r="119" ht="15.75" customHeight="1">
      <c r="B119" s="6" t="s">
        <v>159</v>
      </c>
      <c r="G119" s="26" t="s">
        <v>160</v>
      </c>
      <c r="H119" s="6" t="s">
        <v>52</v>
      </c>
    </row>
    <row r="120" ht="15.75" customHeight="1">
      <c r="K120" s="28" t="str">
        <f>IF(J119&gt;G119,"OK","CHECK")</f>
        <v>CHECK</v>
      </c>
    </row>
    <row r="121" ht="15.75" customHeight="1"/>
    <row r="122" ht="15.75" customHeight="1">
      <c r="B122" s="6" t="s">
        <v>161</v>
      </c>
      <c r="G122" s="26" t="s">
        <v>162</v>
      </c>
      <c r="H122" s="6" t="s">
        <v>52</v>
      </c>
    </row>
    <row r="123" ht="15.75" customHeight="1">
      <c r="I123" s="29" t="str">
        <f>IF(G122&gt;0,"NO (-) PRESSURE","(-) PRESSURE")</f>
        <v>NO (-) PRESSURE</v>
      </c>
      <c r="J123" s="3"/>
      <c r="K123" s="30"/>
    </row>
    <row r="124" ht="15.75" customHeight="1"/>
    <row r="125" ht="15.75" customHeight="1"/>
    <row r="126" ht="15.75" customHeight="1"/>
    <row r="127" ht="15.75" customHeight="1">
      <c r="A127" s="5" t="s">
        <v>163</v>
      </c>
      <c r="B127" s="5" t="s">
        <v>164</v>
      </c>
    </row>
    <row r="128" ht="15.75" customHeight="1"/>
    <row r="129" ht="15.75" customHeight="1">
      <c r="B129" s="5" t="s">
        <v>123</v>
      </c>
    </row>
    <row r="130" ht="15.75" customHeight="1"/>
    <row r="131" ht="15.75" customHeight="1">
      <c r="B131" s="6" t="s">
        <v>140</v>
      </c>
      <c r="G131" s="26" t="s">
        <v>165</v>
      </c>
      <c r="H131" s="6" t="s">
        <v>52</v>
      </c>
    </row>
    <row r="132" ht="15.75" customHeight="1">
      <c r="K132" s="28" t="str">
        <f>IF(J131&gt;G131,"OK","CHECK")</f>
        <v>CHECK</v>
      </c>
    </row>
    <row r="133" ht="15.75" customHeight="1"/>
    <row r="134" ht="15.75" customHeight="1">
      <c r="B134" s="6" t="s">
        <v>143</v>
      </c>
      <c r="G134" s="26" t="s">
        <v>166</v>
      </c>
      <c r="H134" s="6" t="s">
        <v>52</v>
      </c>
    </row>
    <row r="135" ht="15.75" customHeight="1">
      <c r="I135" s="29" t="str">
        <f>IF(G134&gt;0,"NO (-) PRESSURE","(-) PRESSURE")</f>
        <v>NO (-) PRESSURE</v>
      </c>
      <c r="J135" s="3"/>
      <c r="K135" s="30"/>
    </row>
    <row r="136" ht="15.75" customHeight="1"/>
    <row r="137" ht="15.75" customHeight="1">
      <c r="B137" s="5" t="s">
        <v>145</v>
      </c>
    </row>
    <row r="138" ht="15.75" customHeight="1"/>
    <row r="139" ht="15.75" customHeight="1"/>
    <row r="140" ht="15.75" customHeight="1">
      <c r="B140" s="6" t="s">
        <v>159</v>
      </c>
      <c r="G140" s="26" t="s">
        <v>167</v>
      </c>
      <c r="H140" s="6" t="s">
        <v>52</v>
      </c>
    </row>
    <row r="141" ht="15.75" customHeight="1">
      <c r="K141" s="28" t="str">
        <f>IF(J140&gt;G140,"OK","CHECK")</f>
        <v>CHECK</v>
      </c>
    </row>
    <row r="142" ht="15.75" customHeight="1"/>
    <row r="143" ht="15.75" customHeight="1"/>
    <row r="144" ht="15.75" customHeight="1">
      <c r="B144" s="6" t="s">
        <v>161</v>
      </c>
      <c r="G144" s="26" t="s">
        <v>168</v>
      </c>
      <c r="H144" s="6" t="s">
        <v>52</v>
      </c>
    </row>
    <row r="145" ht="15.75" customHeight="1">
      <c r="I145" s="29" t="str">
        <f>IF(G144&gt;0,"NO (-) PRESSURE","(-) PRESSURE")</f>
        <v>NO (-) PRESSURE</v>
      </c>
      <c r="J145" s="3"/>
      <c r="K145" s="30"/>
    </row>
    <row r="146" ht="15.75" customHeight="1"/>
    <row r="147" ht="15.75" customHeight="1"/>
    <row r="148" ht="15.75" customHeight="1">
      <c r="A148" s="5" t="s">
        <v>169</v>
      </c>
      <c r="B148" s="5" t="s">
        <v>170</v>
      </c>
    </row>
    <row r="149" ht="15.75" customHeight="1"/>
    <row r="150" ht="15.75" customHeight="1">
      <c r="B150" s="5" t="s">
        <v>145</v>
      </c>
    </row>
    <row r="151" ht="15.75" customHeight="1"/>
    <row r="152" ht="15.75" customHeight="1">
      <c r="B152" s="6" t="s">
        <v>146</v>
      </c>
      <c r="I152" s="26" t="s">
        <v>171</v>
      </c>
    </row>
    <row r="153" ht="15.75" customHeight="1">
      <c r="B153" s="6" t="s">
        <v>172</v>
      </c>
      <c r="I153" s="26" t="s">
        <v>173</v>
      </c>
    </row>
    <row r="154" ht="15.75" customHeight="1">
      <c r="B154" s="6" t="s">
        <v>150</v>
      </c>
      <c r="I154" s="26" t="s">
        <v>174</v>
      </c>
    </row>
    <row r="155" ht="15.75" customHeight="1">
      <c r="B155" s="6" t="s">
        <v>152</v>
      </c>
      <c r="I155" s="26" t="s">
        <v>175</v>
      </c>
    </row>
    <row r="156" ht="15.75" customHeight="1">
      <c r="B156" s="6" t="s">
        <v>154</v>
      </c>
      <c r="I156" s="26" t="s">
        <v>176</v>
      </c>
    </row>
    <row r="157" ht="15.75" customHeight="1">
      <c r="B157" s="6" t="s">
        <v>177</v>
      </c>
      <c r="I157" s="26" t="s">
        <v>178</v>
      </c>
    </row>
    <row r="158" ht="15.75" customHeight="1">
      <c r="I158" s="26" t="s">
        <v>179</v>
      </c>
      <c r="J158" s="6" t="s">
        <v>22</v>
      </c>
    </row>
    <row r="159" ht="15.75" customHeight="1"/>
    <row r="160" ht="15.75" customHeight="1">
      <c r="B160" s="6" t="s">
        <v>159</v>
      </c>
      <c r="G160" s="26" t="s">
        <v>180</v>
      </c>
      <c r="H160" s="6" t="s">
        <v>52</v>
      </c>
    </row>
    <row r="161" ht="15.75" customHeight="1">
      <c r="K161" s="28" t="str">
        <f>IF(J160&gt;G160,"OK","CHECK")</f>
        <v>CHECK</v>
      </c>
    </row>
    <row r="162" ht="15.75" customHeight="1"/>
    <row r="163" ht="15.75" customHeight="1">
      <c r="B163" s="6" t="s">
        <v>161</v>
      </c>
      <c r="G163" s="26" t="s">
        <v>181</v>
      </c>
      <c r="H163" s="6" t="s">
        <v>52</v>
      </c>
    </row>
    <row r="164" ht="15.75" customHeight="1">
      <c r="I164" s="29" t="str">
        <f>IF(G163&gt;0,"NO (-) PRESSURE","(-) PRESSURE")</f>
        <v>NO (-) PRESSURE</v>
      </c>
      <c r="J164" s="3"/>
      <c r="K164" s="30"/>
    </row>
    <row r="165" ht="15.75" customHeight="1"/>
    <row r="166" ht="15.75" customHeight="1"/>
    <row r="167" ht="15.75" customHeight="1"/>
    <row r="168" ht="15.75" customHeight="1">
      <c r="A168" s="5" t="s">
        <v>182</v>
      </c>
      <c r="B168" s="5" t="s">
        <v>183</v>
      </c>
    </row>
    <row r="169" ht="15.75" customHeight="1"/>
    <row r="170" ht="15.75" customHeight="1">
      <c r="B170" s="5" t="s">
        <v>184</v>
      </c>
      <c r="C170" s="26" t="s">
        <v>79</v>
      </c>
      <c r="D170" s="6" t="s">
        <v>22</v>
      </c>
    </row>
    <row r="171" ht="15.75" customHeight="1">
      <c r="A171" s="25" t="s">
        <v>82</v>
      </c>
      <c r="B171" s="25" t="s">
        <v>185</v>
      </c>
    </row>
    <row r="172" ht="15.75" customHeight="1">
      <c r="A172" s="25" t="s">
        <v>91</v>
      </c>
      <c r="B172" s="25" t="s">
        <v>186</v>
      </c>
    </row>
    <row r="173" ht="15.75" customHeight="1">
      <c r="A173" s="25" t="s">
        <v>104</v>
      </c>
      <c r="B173" s="25" t="s">
        <v>187</v>
      </c>
    </row>
    <row r="174" ht="15.75" customHeight="1">
      <c r="A174" s="25" t="s">
        <v>188</v>
      </c>
      <c r="B174" s="25" t="s">
        <v>189</v>
      </c>
    </row>
    <row r="175" ht="15.75" customHeight="1">
      <c r="A175" s="25" t="s">
        <v>190</v>
      </c>
      <c r="B175" s="25" t="s">
        <v>191</v>
      </c>
    </row>
    <row r="176" ht="15.75" customHeight="1">
      <c r="A176" s="25" t="s">
        <v>192</v>
      </c>
      <c r="B176" s="25" t="s">
        <v>193</v>
      </c>
    </row>
    <row r="177" ht="15.75" customHeight="1">
      <c r="A177" s="25" t="s">
        <v>194</v>
      </c>
      <c r="B177" s="25" t="s">
        <v>195</v>
      </c>
    </row>
    <row r="178" ht="15.75" customHeight="1">
      <c r="A178" s="25" t="s">
        <v>196</v>
      </c>
      <c r="B178" s="25" t="s">
        <v>197</v>
      </c>
    </row>
    <row r="179" ht="15.75" customHeight="1">
      <c r="A179" s="25" t="s">
        <v>198</v>
      </c>
      <c r="B179" s="25" t="s">
        <v>199</v>
      </c>
    </row>
    <row r="180" ht="15.75" customHeight="1">
      <c r="I180" s="26" t="s">
        <v>200</v>
      </c>
      <c r="J180" s="6" t="s">
        <v>22</v>
      </c>
    </row>
    <row r="181" ht="15.75" customHeight="1"/>
    <row r="182" ht="15.75" customHeight="1">
      <c r="B182" s="25" t="s">
        <v>201</v>
      </c>
      <c r="G182" s="26" t="s">
        <v>202</v>
      </c>
      <c r="H182" s="6" t="s">
        <v>22</v>
      </c>
    </row>
    <row r="183" ht="15.75" customHeight="1">
      <c r="B183" s="25" t="s">
        <v>203</v>
      </c>
    </row>
    <row r="184" ht="15.75" customHeight="1"/>
    <row r="185" ht="15.75" customHeight="1">
      <c r="B185" s="21" t="s">
        <v>204</v>
      </c>
      <c r="G185" s="26" t="s">
        <v>205</v>
      </c>
      <c r="J185" s="31" t="str">
        <f>IF(F185&lt;H185,"OK","CHECK")</f>
        <v>CHECK</v>
      </c>
    </row>
    <row r="186" ht="15.75" customHeight="1"/>
    <row r="187" ht="15.75" customHeight="1">
      <c r="A187" s="5" t="s">
        <v>206</v>
      </c>
      <c r="B187" s="5" t="s">
        <v>207</v>
      </c>
    </row>
    <row r="188" ht="15.75" customHeight="1"/>
    <row r="189" ht="15.75" customHeight="1">
      <c r="B189" s="25" t="s">
        <v>208</v>
      </c>
      <c r="C189" s="26" t="s">
        <v>98</v>
      </c>
      <c r="D189" s="6" t="s">
        <v>90</v>
      </c>
    </row>
    <row r="190" ht="15.75" customHeight="1"/>
    <row r="191" ht="15.75" customHeight="1"/>
    <row r="192" ht="15.75" customHeight="1">
      <c r="B192" s="25" t="s">
        <v>209</v>
      </c>
      <c r="I192" s="26" t="s">
        <v>210</v>
      </c>
      <c r="J192" s="6" t="s">
        <v>90</v>
      </c>
    </row>
    <row r="193" ht="15.75" customHeight="1">
      <c r="B193" s="25" t="s">
        <v>211</v>
      </c>
    </row>
    <row r="194" ht="15.75" customHeight="1">
      <c r="B194" s="25" t="s">
        <v>212</v>
      </c>
    </row>
    <row r="195" ht="15.75" customHeight="1"/>
    <row r="196" ht="15.75" customHeight="1">
      <c r="B196" s="21" t="s">
        <v>204</v>
      </c>
      <c r="G196" s="26" t="s">
        <v>213</v>
      </c>
      <c r="J196" s="31" t="str">
        <f>IF(F196&lt;H196,"OK","CHECK")</f>
        <v>CHECK</v>
      </c>
    </row>
    <row r="197" ht="15.75" customHeight="1"/>
    <row r="198" ht="15.75" customHeight="1">
      <c r="A198" s="5" t="s">
        <v>214</v>
      </c>
      <c r="B198" s="5" t="s">
        <v>215</v>
      </c>
    </row>
    <row r="199" ht="15.75" customHeight="1"/>
    <row r="200" ht="15.75" customHeight="1">
      <c r="A200" s="25">
        <v>5.1</v>
      </c>
      <c r="B200" s="32" t="s">
        <v>216</v>
      </c>
    </row>
    <row r="201" ht="15.75" customHeight="1"/>
    <row r="202" ht="15.75" customHeight="1">
      <c r="B202" s="32" t="s">
        <v>217</v>
      </c>
    </row>
    <row r="203" ht="15.75" customHeight="1"/>
    <row r="204" ht="15.75" customHeight="1">
      <c r="A204" s="25" t="s">
        <v>82</v>
      </c>
      <c r="B204" s="25" t="s">
        <v>218</v>
      </c>
    </row>
    <row r="205" ht="15.75" customHeight="1">
      <c r="A205" s="25" t="s">
        <v>91</v>
      </c>
      <c r="B205" s="25" t="s">
        <v>219</v>
      </c>
    </row>
    <row r="206" ht="15.75" customHeight="1">
      <c r="A206" s="25" t="s">
        <v>104</v>
      </c>
      <c r="B206" s="25" t="s">
        <v>220</v>
      </c>
    </row>
    <row r="207" ht="15.75" customHeight="1">
      <c r="A207" s="25" t="s">
        <v>188</v>
      </c>
      <c r="B207" s="25" t="s">
        <v>221</v>
      </c>
    </row>
    <row r="208" ht="15.75" customHeight="1">
      <c r="C208" s="25" t="s">
        <v>222</v>
      </c>
      <c r="I208" s="26" t="s">
        <v>223</v>
      </c>
      <c r="J208" s="6" t="s">
        <v>224</v>
      </c>
    </row>
    <row r="209" ht="15.75" customHeight="1"/>
    <row r="210" ht="15.75" customHeight="1">
      <c r="B210" s="32" t="s">
        <v>225</v>
      </c>
      <c r="I210" s="26" t="s">
        <v>226</v>
      </c>
      <c r="J210" s="6" t="s">
        <v>227</v>
      </c>
    </row>
    <row r="211" ht="15.75" customHeight="1"/>
    <row r="212" ht="15.75" customHeight="1">
      <c r="B212" s="32" t="s">
        <v>228</v>
      </c>
      <c r="I212" s="26" t="s">
        <v>229</v>
      </c>
      <c r="J212" s="6" t="s">
        <v>22</v>
      </c>
    </row>
    <row r="213" ht="15.75" customHeight="1">
      <c r="B213" s="25" t="s">
        <v>230</v>
      </c>
    </row>
    <row r="214" ht="15.75" customHeight="1"/>
    <row r="215" ht="15.75" customHeight="1">
      <c r="A215" s="25">
        <v>5.2</v>
      </c>
      <c r="B215" s="32" t="s">
        <v>231</v>
      </c>
      <c r="K215" s="26" t="s">
        <v>232</v>
      </c>
    </row>
    <row r="216" ht="15.75" customHeight="1">
      <c r="B216" s="25" t="s">
        <v>233</v>
      </c>
      <c r="K216" s="6" t="s">
        <v>22</v>
      </c>
    </row>
    <row r="217" ht="15.75" customHeight="1"/>
    <row r="218" ht="15.75" customHeight="1">
      <c r="A218" s="25">
        <v>5.3</v>
      </c>
      <c r="B218" s="32" t="s">
        <v>234</v>
      </c>
      <c r="K218" s="26" t="s">
        <v>235</v>
      </c>
    </row>
    <row r="219" ht="15.75" customHeight="1">
      <c r="B219" s="25" t="s">
        <v>236</v>
      </c>
      <c r="K219" s="6" t="s">
        <v>22</v>
      </c>
    </row>
    <row r="220" ht="15.75" customHeight="1"/>
    <row r="221" ht="15.75" customHeight="1">
      <c r="A221" s="5" t="s">
        <v>237</v>
      </c>
      <c r="B221" s="5" t="s">
        <v>238</v>
      </c>
    </row>
    <row r="222" ht="15.75" customHeight="1"/>
    <row r="223" ht="15.75" customHeight="1">
      <c r="A223" s="32" t="s">
        <v>82</v>
      </c>
      <c r="B223" s="32" t="s">
        <v>239</v>
      </c>
    </row>
    <row r="224" ht="15.75" customHeight="1"/>
    <row r="225" ht="15.75" customHeight="1">
      <c r="B225" s="25" t="s">
        <v>240</v>
      </c>
      <c r="C225" s="26" t="s">
        <v>241</v>
      </c>
      <c r="D225" s="6" t="s">
        <v>22</v>
      </c>
    </row>
    <row r="226" ht="15.75" customHeight="1"/>
    <row r="227" ht="15.75" customHeight="1">
      <c r="B227" s="25" t="s">
        <v>242</v>
      </c>
      <c r="G227" s="26" t="s">
        <v>243</v>
      </c>
    </row>
    <row r="228" ht="15.75" customHeight="1">
      <c r="B228" s="25" t="s">
        <v>244</v>
      </c>
      <c r="I228" s="26" t="s">
        <v>245</v>
      </c>
    </row>
    <row r="229" ht="15.75" customHeight="1"/>
    <row r="230" ht="15.75" customHeight="1">
      <c r="B230" s="25" t="s">
        <v>246</v>
      </c>
      <c r="G230" s="26" t="s">
        <v>247</v>
      </c>
      <c r="H230" s="6" t="s">
        <v>248</v>
      </c>
    </row>
    <row r="231" ht="15.75" customHeight="1"/>
    <row r="232" ht="15.75" customHeight="1"/>
    <row r="233" ht="15.75" customHeight="1">
      <c r="B233" s="25" t="s">
        <v>249</v>
      </c>
      <c r="C233" s="33" t="s">
        <v>250</v>
      </c>
      <c r="G233" s="26" t="s">
        <v>251</v>
      </c>
      <c r="H233" s="6" t="s">
        <v>252</v>
      </c>
    </row>
    <row r="234" ht="15.75" customHeight="1">
      <c r="B234" s="25" t="s">
        <v>253</v>
      </c>
      <c r="G234" s="33" t="s">
        <v>254</v>
      </c>
    </row>
    <row r="235" ht="15.75" customHeight="1">
      <c r="B235" s="25" t="s">
        <v>255</v>
      </c>
      <c r="C235" s="26" t="s">
        <v>256</v>
      </c>
      <c r="D235" s="6" t="s">
        <v>248</v>
      </c>
    </row>
    <row r="236" ht="15.75" customHeight="1">
      <c r="G236" s="31" t="str">
        <f>IF(G230&lt;C235,"OK","CHECK")</f>
        <v>CHECK</v>
      </c>
    </row>
    <row r="237" ht="15.75" customHeight="1"/>
    <row r="238" ht="15.75" customHeight="1">
      <c r="A238" s="5" t="s">
        <v>257</v>
      </c>
      <c r="B238" s="5" t="s">
        <v>258</v>
      </c>
    </row>
    <row r="239" ht="15.75" customHeight="1"/>
    <row r="240" ht="15.75" customHeight="1">
      <c r="B240" s="25" t="s">
        <v>259</v>
      </c>
    </row>
    <row r="241" ht="15.75" customHeight="1">
      <c r="B241" s="25" t="s">
        <v>260</v>
      </c>
    </row>
    <row r="242" ht="15.75" customHeight="1"/>
    <row r="243" ht="15.75" customHeight="1">
      <c r="B243" s="25" t="s">
        <v>261</v>
      </c>
    </row>
    <row r="244" ht="15.75" customHeight="1"/>
    <row r="245" ht="15.75" customHeight="1"/>
    <row r="246" ht="15.75" customHeight="1">
      <c r="C246" s="26" t="s">
        <v>262</v>
      </c>
    </row>
    <row r="247" ht="15.75" customHeight="1">
      <c r="B247" s="25" t="s">
        <v>263</v>
      </c>
      <c r="C247" s="26" t="s">
        <v>264</v>
      </c>
      <c r="H247" s="6" t="s">
        <v>29</v>
      </c>
    </row>
    <row r="248" ht="15.75" customHeight="1"/>
    <row r="249" ht="15.75" customHeight="1">
      <c r="G249" s="31" t="str">
        <f>IF(C247&lt;F247,"OK","CHECK")</f>
        <v>CHECK</v>
      </c>
    </row>
    <row r="250" ht="15.75" customHeight="1"/>
    <row r="251" ht="15.75" customHeight="1"/>
    <row r="252" ht="15.75" customHeight="1">
      <c r="A252" s="5" t="s">
        <v>265</v>
      </c>
      <c r="B252" s="5" t="s">
        <v>266</v>
      </c>
    </row>
    <row r="253" ht="15.75" customHeight="1">
      <c r="B253" s="25" t="s">
        <v>267</v>
      </c>
    </row>
    <row r="254" ht="15.75" customHeight="1">
      <c r="B254" s="25" t="s">
        <v>268</v>
      </c>
      <c r="I254" s="26" t="s">
        <v>269</v>
      </c>
    </row>
    <row r="255" ht="15.75" customHeight="1">
      <c r="I255" s="6" t="s">
        <v>248</v>
      </c>
    </row>
    <row r="256" ht="15.75" customHeight="1">
      <c r="B256" s="25" t="s">
        <v>270</v>
      </c>
      <c r="C256" s="26" t="s">
        <v>271</v>
      </c>
      <c r="D256" s="6" t="s">
        <v>248</v>
      </c>
    </row>
    <row r="257" ht="15.75" customHeight="1">
      <c r="B257" s="25" t="s">
        <v>272</v>
      </c>
      <c r="C257" s="33" t="s">
        <v>273</v>
      </c>
      <c r="G257" s="26" t="s">
        <v>274</v>
      </c>
      <c r="H257" s="6" t="s">
        <v>252</v>
      </c>
    </row>
    <row r="258" ht="15.75" customHeight="1">
      <c r="B258" s="25" t="s">
        <v>253</v>
      </c>
      <c r="G258" s="33" t="s">
        <v>275</v>
      </c>
    </row>
    <row r="259" ht="15.75" customHeight="1">
      <c r="B259" s="25" t="s">
        <v>255</v>
      </c>
      <c r="C259" s="26" t="s">
        <v>276</v>
      </c>
      <c r="D259" s="6" t="s">
        <v>248</v>
      </c>
    </row>
    <row r="260" ht="15.75" customHeight="1">
      <c r="G260" s="31" t="str">
        <f>IF(I254&lt;C259,"OK","CHECK")</f>
        <v>CHECK</v>
      </c>
    </row>
    <row r="261" ht="15.75" customHeight="1"/>
    <row r="262" ht="15.75" customHeight="1">
      <c r="A262" s="5" t="s">
        <v>277</v>
      </c>
      <c r="B262" s="5" t="s">
        <v>278</v>
      </c>
    </row>
    <row r="263" ht="15.75" customHeight="1">
      <c r="B263" s="25" t="s">
        <v>279</v>
      </c>
      <c r="C263" s="26" t="s">
        <v>280</v>
      </c>
    </row>
    <row r="264" ht="15.75" customHeight="1">
      <c r="B264" s="25" t="s">
        <v>281</v>
      </c>
      <c r="I264" s="26" t="s">
        <v>282</v>
      </c>
    </row>
    <row r="265" ht="15.75" customHeight="1">
      <c r="B265" s="25" t="s">
        <v>283</v>
      </c>
      <c r="I265" s="6" t="s">
        <v>90</v>
      </c>
    </row>
    <row r="266" ht="15.75" customHeight="1">
      <c r="B266" s="25" t="s">
        <v>284</v>
      </c>
      <c r="C266" s="26" t="s">
        <v>285</v>
      </c>
      <c r="D266" s="6" t="s">
        <v>90</v>
      </c>
    </row>
    <row r="267" ht="15.75" customHeight="1">
      <c r="B267" s="25" t="s">
        <v>286</v>
      </c>
      <c r="K267" s="26" t="s">
        <v>287</v>
      </c>
    </row>
    <row r="268" ht="15.75" customHeight="1">
      <c r="K268" s="6" t="s">
        <v>29</v>
      </c>
    </row>
    <row r="269" ht="15.75" customHeight="1">
      <c r="B269" s="25" t="s">
        <v>288</v>
      </c>
      <c r="I269" s="26" t="s">
        <v>289</v>
      </c>
    </row>
    <row r="270" ht="15.75" customHeight="1">
      <c r="B270" s="25" t="s">
        <v>290</v>
      </c>
    </row>
    <row r="271" ht="15.75" customHeight="1"/>
    <row r="272" ht="15.75" customHeight="1">
      <c r="B272" s="32" t="s">
        <v>291</v>
      </c>
    </row>
    <row r="273" ht="15.75" customHeight="1">
      <c r="B273" s="25" t="s">
        <v>292</v>
      </c>
      <c r="C273" s="26" t="s">
        <v>293</v>
      </c>
      <c r="D273" s="6" t="s">
        <v>294</v>
      </c>
    </row>
    <row r="274" ht="15.75" customHeight="1"/>
    <row r="275" ht="15.75" customHeight="1">
      <c r="B275" s="25" t="s">
        <v>295</v>
      </c>
      <c r="I275" s="26" t="s">
        <v>296</v>
      </c>
      <c r="J275" s="6" t="s">
        <v>248</v>
      </c>
    </row>
    <row r="276" ht="15.75" customHeight="1"/>
    <row r="277" ht="15.75" customHeight="1">
      <c r="B277" s="25" t="s">
        <v>297</v>
      </c>
      <c r="C277" s="33" t="s">
        <v>298</v>
      </c>
      <c r="G277" s="26" t="s">
        <v>299</v>
      </c>
      <c r="H277" s="6" t="s">
        <v>252</v>
      </c>
    </row>
    <row r="278" ht="15.75" customHeight="1">
      <c r="B278" s="25" t="s">
        <v>253</v>
      </c>
      <c r="G278" s="33" t="s">
        <v>300</v>
      </c>
    </row>
    <row r="279" ht="15.75" customHeight="1">
      <c r="B279" s="25" t="s">
        <v>301</v>
      </c>
      <c r="C279" s="26" t="s">
        <v>302</v>
      </c>
      <c r="D279" s="6" t="s">
        <v>303</v>
      </c>
    </row>
    <row r="280" ht="15.75" customHeight="1">
      <c r="G280" s="31" t="str">
        <f>IF(I275&lt;C279,"OK","CHECK")</f>
        <v>CHECK</v>
      </c>
    </row>
    <row r="281" ht="15.75" customHeight="1"/>
    <row r="282" ht="15.75" customHeight="1">
      <c r="A282" s="5" t="s">
        <v>304</v>
      </c>
      <c r="B282" s="5" t="s">
        <v>305</v>
      </c>
    </row>
    <row r="283" ht="15.75" customHeight="1">
      <c r="A283" s="6" t="s">
        <v>82</v>
      </c>
      <c r="B283" s="6" t="s">
        <v>306</v>
      </c>
      <c r="C283" s="26" t="s">
        <v>10</v>
      </c>
      <c r="D283" s="26" t="s">
        <v>7</v>
      </c>
    </row>
    <row r="284" ht="15.75" customHeight="1">
      <c r="A284" s="6" t="s">
        <v>91</v>
      </c>
      <c r="B284" s="6" t="s">
        <v>307</v>
      </c>
      <c r="C284" s="26" t="s">
        <v>45</v>
      </c>
      <c r="D284" s="26" t="s">
        <v>7</v>
      </c>
    </row>
    <row r="285" ht="15.75" customHeight="1">
      <c r="A285" s="6" t="s">
        <v>104</v>
      </c>
      <c r="B285" s="6" t="s">
        <v>308</v>
      </c>
      <c r="C285" s="26" t="s">
        <v>47</v>
      </c>
      <c r="D285" s="26" t="s">
        <v>7</v>
      </c>
    </row>
    <row r="286" ht="15.75" customHeight="1">
      <c r="A286" s="6" t="s">
        <v>188</v>
      </c>
      <c r="B286" s="6" t="s">
        <v>309</v>
      </c>
      <c r="C286" s="26" t="s">
        <v>43</v>
      </c>
      <c r="D286" s="26" t="s">
        <v>7</v>
      </c>
    </row>
    <row r="287" ht="15.75" customHeight="1">
      <c r="A287" s="6" t="s">
        <v>190</v>
      </c>
      <c r="B287" s="6" t="s">
        <v>310</v>
      </c>
      <c r="C287" s="26" t="s">
        <v>49</v>
      </c>
      <c r="D287" s="26" t="s">
        <v>7</v>
      </c>
    </row>
    <row r="288" ht="15.75" customHeight="1">
      <c r="A288" s="6" t="s">
        <v>192</v>
      </c>
      <c r="B288" s="6" t="s">
        <v>311</v>
      </c>
      <c r="C288" s="26" t="s">
        <v>312</v>
      </c>
      <c r="G288" s="26" t="s">
        <v>313</v>
      </c>
    </row>
    <row r="289" ht="15.75" customHeight="1">
      <c r="A289" s="6" t="s">
        <v>194</v>
      </c>
      <c r="B289" s="6" t="s">
        <v>314</v>
      </c>
      <c r="C289" s="26" t="s">
        <v>315</v>
      </c>
      <c r="G289" s="26" t="s">
        <v>316</v>
      </c>
    </row>
    <row r="290" ht="15.75" customHeight="1">
      <c r="A290" s="6" t="s">
        <v>196</v>
      </c>
      <c r="B290" s="6" t="s">
        <v>317</v>
      </c>
      <c r="C290" s="26" t="s">
        <v>318</v>
      </c>
      <c r="G290" s="26" t="s">
        <v>319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D1"/>
    <mergeCell ref="G7:L25"/>
    <mergeCell ref="I107:K107"/>
    <mergeCell ref="I123:K123"/>
    <mergeCell ref="I135:K135"/>
    <mergeCell ref="I145:K145"/>
    <mergeCell ref="I164:K164"/>
  </mergeCells>
  <printOptions/>
  <pageMargins bottom="1.0" footer="0.0" header="0.0" left="0.75" right="0.75" top="1.0"/>
  <pageSetup orientation="landscape"/>
  <drawing r:id="rId1"/>
</worksheet>
</file>