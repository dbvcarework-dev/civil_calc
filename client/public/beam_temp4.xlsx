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AM_DESIGN_TEMPLATE" sheetId="1" r:id="rId5"/>
  </sheets>
  <definedNames/>
  <calcPr/>
</workbook>
</file>

<file path=xl/sharedStrings.xml><?xml version="1.0" encoding="utf-8"?>
<sst xmlns="http://schemas.openxmlformats.org/spreadsheetml/2006/main" count="207" uniqueCount="135">
  <si>
    <t>Project No.</t>
  </si>
  <si>
    <t>Document No.</t>
  </si>
  <si>
    <t>Subject : Design Calculation of RCC Beam</t>
  </si>
  <si>
    <t>BEAM DESIGN</t>
  </si>
  <si>
    <t>TOP/BOTTOM REINFORCEMENT CHECK @ L/4 SECTION</t>
  </si>
  <si>
    <t>Mu from staad</t>
  </si>
  <si>
    <t>{{MU}}</t>
  </si>
  <si>
    <t>KN-m</t>
  </si>
  <si>
    <t>=</t>
  </si>
  <si>
    <t>Cover</t>
  </si>
  <si>
    <t>{{COVER}}</t>
  </si>
  <si>
    <t>mm</t>
  </si>
  <si>
    <t>Fck =</t>
  </si>
  <si>
    <t>{{FCK}}</t>
  </si>
  <si>
    <t>Mpa</t>
  </si>
  <si>
    <t>Fck</t>
  </si>
  <si>
    <t>Fy =</t>
  </si>
  <si>
    <t>{{FY}}</t>
  </si>
  <si>
    <t>Fy</t>
  </si>
  <si>
    <t>Width (b)</t>
  </si>
  <si>
    <t>{{B}}</t>
  </si>
  <si>
    <t>Total Depth (D)</t>
  </si>
  <si>
    <t>{{D}}</t>
  </si>
  <si>
    <t>Depth (d)</t>
  </si>
  <si>
    <t>{{d_eff}}</t>
  </si>
  <si>
    <t>factor for Mulim</t>
  </si>
  <si>
    <t>{{MULIM_FACTOR}}</t>
  </si>
  <si>
    <t>Factor for Mulim</t>
  </si>
  <si>
    <t>Length of Beam</t>
  </si>
  <si>
    <t>{{BEAM_LEN}}</t>
  </si>
  <si>
    <t>m</t>
  </si>
  <si>
    <t>Mulim =</t>
  </si>
  <si>
    <t>{{MULIM}}</t>
  </si>
  <si>
    <t>kN-m</t>
  </si>
  <si>
    <t>Mu &lt; Mulim</t>
  </si>
  <si>
    <t>{{MULIM_STATUS}}</t>
  </si>
  <si>
    <t>Area of Steel Require</t>
  </si>
  <si>
    <t>Pt req.</t>
  </si>
  <si>
    <t>{{PT_REQ}}</t>
  </si>
  <si>
    <t>%</t>
  </si>
  <si>
    <t>Astreq = Pt*bd/100</t>
  </si>
  <si>
    <t>{{AST_REQ}}</t>
  </si>
  <si>
    <t>mm2</t>
  </si>
  <si>
    <t>Minimum Area of Steel Require</t>
  </si>
  <si>
    <t>As(Min)</t>
  </si>
  <si>
    <t>{{AST_MIN}}</t>
  </si>
  <si>
    <t>Pt(Min)(%)</t>
  </si>
  <si>
    <t>{{PT_MIN}}</t>
  </si>
  <si>
    <t>{{MIN_REIN_MSG}}</t>
  </si>
  <si>
    <t>AstProv</t>
  </si>
  <si>
    <t>Ptprov</t>
  </si>
  <si>
    <t>NO</t>
  </si>
  <si>
    <t>BAR Dia</t>
  </si>
  <si>
    <t>Ast</t>
  </si>
  <si>
    <t>BAR Provide</t>
  </si>
  <si>
    <t>{{PT_PROV}}</t>
  </si>
  <si>
    <t>{{BAR1_NO}}</t>
  </si>
  <si>
    <t>{{BAR1_DIA}}</t>
  </si>
  <si>
    <t>{{BAR1_AST}}</t>
  </si>
  <si>
    <t>{{BAR2_NO}}</t>
  </si>
  <si>
    <t>{{BAR2_DIA}}</t>
  </si>
  <si>
    <t>{{BAR2_AST}}</t>
  </si>
  <si>
    <t>Total</t>
  </si>
  <si>
    <t>{{AST_TOTAL}}</t>
  </si>
  <si>
    <t>{{L4_BAR1_NO}}</t>
  </si>
  <si>
    <t>{{L4_BAR1_DIA}}</t>
  </si>
  <si>
    <t>{{L4_BAR1_AST}}</t>
  </si>
  <si>
    <t>{{L4_BAR2_NO}}</t>
  </si>
  <si>
    <t>{{L4_BAR2_DIA}}</t>
  </si>
  <si>
    <t>{{L4_BAR2_AST}}</t>
  </si>
  <si>
    <t>SPACING CRITERIA</t>
  </si>
  <si>
    <t>SPACING-1</t>
  </si>
  <si>
    <t>{{SPACING_1}}</t>
  </si>
  <si>
    <t>SPACING-2</t>
  </si>
  <si>
    <t>{{SPACING_2}}</t>
  </si>
  <si>
    <t>Min Spacing</t>
  </si>
  <si>
    <t>{{MIN_SPACING}}</t>
  </si>
  <si>
    <t>SIDE FACE REINFORCEMENT CALCULATION</t>
  </si>
  <si>
    <t>bw</t>
  </si>
  <si>
    <t>D</t>
  </si>
  <si>
    <t>Area Requirement</t>
  </si>
  <si>
    <t>{{SFR_AREA_REQ}}</t>
  </si>
  <si>
    <t>one side requirement</t>
  </si>
  <si>
    <t>{{SFR_ONE_SIDE}}</t>
  </si>
  <si>
    <t>AstProv (SFR)</t>
  </si>
  <si>
    <t>{{SFR_NO}}</t>
  </si>
  <si>
    <t>{{SFR_DIA}}</t>
  </si>
  <si>
    <t>{{SFR_AST}}</t>
  </si>
  <si>
    <t>Shear Reinforcement Calculation</t>
  </si>
  <si>
    <t>Vu</t>
  </si>
  <si>
    <t>{{VU}}</t>
  </si>
  <si>
    <t>kN</t>
  </si>
  <si>
    <t>tv</t>
  </si>
  <si>
    <t>{{TV}}</t>
  </si>
  <si>
    <t>N/mm2</t>
  </si>
  <si>
    <t>tc max</t>
  </si>
  <si>
    <t>{{TC_MAX}}</t>
  </si>
  <si>
    <t>As</t>
  </si>
  <si>
    <t>{{AS_SHEAR}}</t>
  </si>
  <si>
    <t>100As/bd</t>
  </si>
  <si>
    <t>{{AS_RATIO}}</t>
  </si>
  <si>
    <t>tc</t>
  </si>
  <si>
    <t>{{TC_PT_LOW}}</t>
  </si>
  <si>
    <t>{{TC_VAL_LOW}}</t>
  </si>
  <si>
    <t>{{TC_PT_HIGH}}</t>
  </si>
  <si>
    <t>{{TC_VAL_HIGH}}</t>
  </si>
  <si>
    <t>tc-calculated</t>
  </si>
  <si>
    <t>{{TC_CALC}}</t>
  </si>
  <si>
    <t>Permissible value of shear stress for checking of coupling action in N/sqmm</t>
  </si>
  <si>
    <t>Vuc (Shear Capacity)</t>
  </si>
  <si>
    <t>{{VUC}}</t>
  </si>
  <si>
    <t>Shear capacity of concrete section due to tc in kN</t>
  </si>
  <si>
    <t>STIRRUP</t>
  </si>
  <si>
    <t>DIA</t>
  </si>
  <si>
    <t>{{STIRRUP_DIA}}</t>
  </si>
  <si>
    <t>LEGGED</t>
  </si>
  <si>
    <t>{{STIRRUP_LEGS}}</t>
  </si>
  <si>
    <t>Asv</t>
  </si>
  <si>
    <t>{{ASV}}</t>
  </si>
  <si>
    <t>Shear Capacity Taken by concrete</t>
  </si>
  <si>
    <t>Vuc</t>
  </si>
  <si>
    <t>{{VUC_NET}}</t>
  </si>
  <si>
    <t>Shear resistance of minimum shear reinforcement</t>
  </si>
  <si>
    <t>Vusmin</t>
  </si>
  <si>
    <t>{{VUSMIN}}</t>
  </si>
  <si>
    <t>Sv</t>
  </si>
  <si>
    <t>{{SV}}</t>
  </si>
  <si>
    <t>Spacing Should Not exceed</t>
  </si>
  <si>
    <t>Svmin</t>
  </si>
  <si>
    <t>{{SVMIN}}</t>
  </si>
  <si>
    <t>0.75d</t>
  </si>
  <si>
    <t>{{SV_075D}}</t>
  </si>
  <si>
    <t>100</t>
  </si>
  <si>
    <t>SPACING</t>
  </si>
  <si>
    <t>{{FINAL_SPACING}}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</si>
</sst>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000000"/>
      <name val="Arial"/>
    </font>
    <font>
      <sz val="9.0"/>
      <color rgb="FF000000"/>
      <name val="Arial"/>
    </font>
    <font>
      <sz val="11.0"/>
      <color rgb="FF000000"/>
      <name val="Arial"/>
    </font>
    <font/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right/>
      <bottom/>
    </border>
    <border>
      <top style="medium">
        <color rgb="FF000000"/>
      </top>
    </border>
    <border>
      <lef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0" numFmtId="0" xfId="0" applyFont="1"/>
    <xf borderId="2" fillId="0" fontId="1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0" fillId="0" fontId="3" numFmtId="0" xfId="0" applyAlignment="1" applyFont="1">
      <alignment horizontal="left" vertical="center"/>
    </xf>
    <xf borderId="5" fillId="2" fontId="3" numFmtId="0" xfId="0" applyAlignment="1" applyBorder="1" applyFill="1" applyFont="1">
      <alignment horizontal="right" vertical="center"/>
    </xf>
    <xf borderId="0" fillId="0" fontId="3" numFmtId="0" xfId="0" applyAlignment="1" applyFont="1">
      <alignment horizontal="center" vertical="center"/>
    </xf>
    <xf borderId="5" fillId="3" fontId="3" numFmtId="0" xfId="0" applyAlignment="1" applyBorder="1" applyFill="1" applyFont="1">
      <alignment horizontal="left" vertical="center"/>
    </xf>
    <xf borderId="6" fillId="0" fontId="1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1" fillId="0" fontId="3" numFmtId="0" xfId="0" applyAlignment="1" applyBorder="1" applyFont="1">
      <alignment horizontal="left" vertical="center"/>
    </xf>
    <xf borderId="1" fillId="0" fontId="5" numFmtId="0" xfId="0" applyBorder="1" applyFont="1"/>
    <xf borderId="1" fillId="4" fontId="3" numFmtId="0" xfId="0" applyAlignment="1" applyBorder="1" applyFill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0" fillId="5" fontId="5" numFmtId="0" xfId="0" applyFill="1" applyFont="1"/>
    <xf borderId="0" fillId="6" fontId="5" numFmtId="0" xfId="0" applyAlignment="1" applyFill="1" applyFont="1">
      <alignment horizontal="left"/>
    </xf>
    <xf borderId="9" fillId="2" fontId="3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0" fillId="5" fontId="5" numFmtId="0" xfId="0" applyAlignment="1" applyFont="1">
      <alignment horizontal="right"/>
    </xf>
    <xf borderId="0" fillId="0" fontId="1" numFmtId="0" xfId="0" applyAlignment="1" applyFont="1">
      <alignment horizontal="center" vertical="center"/>
    </xf>
    <xf borderId="12" fillId="5" fontId="5" numFmtId="0" xfId="0" applyAlignment="1" applyBorder="1" applyFont="1">
      <alignment horizontal="center"/>
    </xf>
    <xf borderId="12" fillId="0" fontId="4" numFmtId="0" xfId="0" applyBorder="1" applyFont="1"/>
    <xf borderId="13" fillId="2" fontId="1" numFmtId="0" xfId="0" applyAlignment="1" applyBorder="1" applyFont="1">
      <alignment horizontal="center" vertical="center"/>
    </xf>
    <xf borderId="14" fillId="0" fontId="4" numFmtId="0" xfId="0" applyBorder="1" applyFont="1"/>
    <xf borderId="1" fillId="2" fontId="3" numFmtId="0" xfId="0" applyAlignment="1" applyBorder="1" applyFont="1">
      <alignment horizontal="center" vertical="center"/>
    </xf>
    <xf borderId="0" fillId="5" fontId="5" numFmtId="0" xfId="0" applyAlignment="1" applyFont="1">
      <alignment horizontal="center"/>
    </xf>
    <xf borderId="1" fillId="4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vertical="center"/>
    </xf>
    <xf borderId="6" fillId="3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13" fillId="3" fontId="1" numFmtId="0" xfId="0" applyAlignment="1" applyBorder="1" applyFont="1">
      <alignment horizontal="center" vertical="center"/>
    </xf>
    <xf borderId="15" fillId="0" fontId="4" numFmtId="0" xfId="0" applyBorder="1" applyFont="1"/>
    <xf borderId="6" fillId="0" fontId="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1276350</xdr:colOff>
      <xdr:row>21</xdr:row>
      <xdr:rowOff>95250</xdr:rowOff>
    </xdr:from>
    <xdr:ext cx="4200525" cy="18954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5.43"/>
    <col customWidth="1" min="3" max="3" width="16.29"/>
    <col customWidth="1" min="4" max="4" width="12.14"/>
    <col customWidth="1" min="5" max="5" width="16.0"/>
    <col customWidth="1" min="6" max="6" width="8.0"/>
    <col customWidth="1" min="7" max="7" width="5.0"/>
    <col customWidth="1" min="8" max="8" width="3.0"/>
    <col customWidth="1" min="9" max="11" width="8.71"/>
    <col customWidth="1" min="12" max="12" width="20.29"/>
    <col customWidth="1" min="13" max="13" width="9.86"/>
    <col customWidth="1" min="14" max="14" width="19.71"/>
    <col customWidth="1" min="15" max="15" width="14.0"/>
    <col customWidth="1" min="16" max="16" width="8.0"/>
    <col customWidth="1" min="17" max="26" width="8.71"/>
  </cols>
  <sheetData>
    <row r="4">
      <c r="A4" s="1"/>
      <c r="D4" s="2" t="s">
        <v>0</v>
      </c>
      <c r="E4" s="3" t="s">
        <v>1</v>
      </c>
      <c r="H4" s="4"/>
    </row>
    <row r="5">
      <c r="D5" s="3"/>
      <c r="E5" s="3"/>
    </row>
    <row r="6">
      <c r="A6" s="1" t="s">
        <v>2</v>
      </c>
    </row>
    <row r="8">
      <c r="A8" s="5" t="s">
        <v>3</v>
      </c>
      <c r="B8" s="6"/>
      <c r="C8" s="6"/>
      <c r="D8" s="6"/>
      <c r="E8" s="7"/>
      <c r="L8" s="5" t="s">
        <v>4</v>
      </c>
      <c r="M8" s="6"/>
      <c r="N8" s="6"/>
      <c r="O8" s="6"/>
      <c r="P8" s="7"/>
    </row>
    <row r="9">
      <c r="L9" s="8" t="s">
        <v>5</v>
      </c>
      <c r="N9" s="9" t="s">
        <v>6</v>
      </c>
      <c r="O9" s="8" t="s">
        <v>7</v>
      </c>
    </row>
    <row r="10">
      <c r="A10" s="8" t="s">
        <v>5</v>
      </c>
      <c r="B10" s="10" t="s">
        <v>8</v>
      </c>
      <c r="C10" s="9" t="s">
        <v>6</v>
      </c>
      <c r="D10" s="8" t="s">
        <v>7</v>
      </c>
      <c r="L10" s="8" t="s">
        <v>9</v>
      </c>
      <c r="N10" s="9" t="s">
        <v>10</v>
      </c>
      <c r="O10" s="8" t="s">
        <v>11</v>
      </c>
    </row>
    <row r="11">
      <c r="A11" s="8" t="s">
        <v>9</v>
      </c>
      <c r="B11" s="10" t="s">
        <v>8</v>
      </c>
      <c r="C11" s="9" t="s">
        <v>10</v>
      </c>
      <c r="D11" s="8" t="s">
        <v>11</v>
      </c>
      <c r="L11" s="8" t="s">
        <v>12</v>
      </c>
      <c r="N11" s="9" t="s">
        <v>13</v>
      </c>
      <c r="O11" s="8" t="s">
        <v>14</v>
      </c>
    </row>
    <row r="12">
      <c r="A12" s="8" t="s">
        <v>15</v>
      </c>
      <c r="B12" s="10" t="s">
        <v>8</v>
      </c>
      <c r="C12" s="9" t="s">
        <v>13</v>
      </c>
      <c r="D12" s="8" t="s">
        <v>14</v>
      </c>
      <c r="L12" s="8" t="s">
        <v>16</v>
      </c>
      <c r="N12" s="9" t="s">
        <v>17</v>
      </c>
      <c r="O12" s="8" t="s">
        <v>14</v>
      </c>
    </row>
    <row r="13">
      <c r="A13" s="8" t="s">
        <v>18</v>
      </c>
      <c r="B13" s="10" t="s">
        <v>8</v>
      </c>
      <c r="C13" s="9" t="s">
        <v>17</v>
      </c>
      <c r="D13" s="8" t="s">
        <v>14</v>
      </c>
      <c r="L13" s="8" t="s">
        <v>19</v>
      </c>
      <c r="N13" s="9" t="s">
        <v>20</v>
      </c>
      <c r="O13" s="8" t="s">
        <v>11</v>
      </c>
    </row>
    <row r="14">
      <c r="A14" s="8" t="s">
        <v>19</v>
      </c>
      <c r="B14" s="10" t="s">
        <v>8</v>
      </c>
      <c r="C14" s="9" t="s">
        <v>20</v>
      </c>
      <c r="D14" s="8" t="s">
        <v>11</v>
      </c>
      <c r="L14" s="8" t="s">
        <v>21</v>
      </c>
      <c r="N14" s="9" t="s">
        <v>22</v>
      </c>
      <c r="O14" s="8" t="s">
        <v>11</v>
      </c>
    </row>
    <row r="15">
      <c r="A15" s="8" t="s">
        <v>21</v>
      </c>
      <c r="B15" s="10" t="s">
        <v>8</v>
      </c>
      <c r="C15" s="9" t="s">
        <v>22</v>
      </c>
      <c r="D15" s="8" t="s">
        <v>11</v>
      </c>
      <c r="L15" s="8" t="s">
        <v>23</v>
      </c>
      <c r="N15" s="9" t="s">
        <v>24</v>
      </c>
      <c r="O15" s="8" t="s">
        <v>11</v>
      </c>
    </row>
    <row r="16">
      <c r="A16" s="8" t="s">
        <v>23</v>
      </c>
      <c r="B16" s="10" t="s">
        <v>8</v>
      </c>
      <c r="C16" s="9" t="s">
        <v>24</v>
      </c>
      <c r="D16" s="8" t="s">
        <v>11</v>
      </c>
      <c r="L16" s="8" t="s">
        <v>25</v>
      </c>
      <c r="N16" s="9" t="s">
        <v>26</v>
      </c>
    </row>
    <row r="17">
      <c r="A17" s="8" t="s">
        <v>27</v>
      </c>
      <c r="B17" s="10" t="s">
        <v>8</v>
      </c>
      <c r="C17" s="9" t="s">
        <v>26</v>
      </c>
      <c r="D17" s="8"/>
      <c r="L17" s="8" t="s">
        <v>28</v>
      </c>
      <c r="N17" s="9" t="s">
        <v>29</v>
      </c>
      <c r="O17" s="8" t="s">
        <v>30</v>
      </c>
    </row>
    <row r="18">
      <c r="L18" s="8" t="s">
        <v>31</v>
      </c>
      <c r="N18" s="9" t="s">
        <v>32</v>
      </c>
      <c r="O18" s="8" t="s">
        <v>33</v>
      </c>
    </row>
    <row r="19">
      <c r="A19" s="8" t="s">
        <v>31</v>
      </c>
      <c r="C19" s="9" t="s">
        <v>32</v>
      </c>
      <c r="D19" s="8" t="s">
        <v>33</v>
      </c>
      <c r="N19" s="8" t="s">
        <v>34</v>
      </c>
      <c r="O19" s="11" t="s">
        <v>35</v>
      </c>
    </row>
    <row r="20">
      <c r="C20" s="8" t="s">
        <v>34</v>
      </c>
      <c r="D20" s="11" t="str">
        <f>IF(C10&lt;C19,("OK"),("increase section size"))</f>
        <v>OK</v>
      </c>
    </row>
    <row r="21" ht="15.75" customHeight="1"/>
    <row r="22" ht="15.75" customHeight="1">
      <c r="A22" s="12" t="s">
        <v>36</v>
      </c>
      <c r="B22" s="13"/>
      <c r="C22" s="14"/>
      <c r="L22" s="15" t="s">
        <v>37</v>
      </c>
      <c r="M22" s="16"/>
      <c r="N22" s="17" t="s">
        <v>38</v>
      </c>
      <c r="O22" s="8" t="s">
        <v>39</v>
      </c>
    </row>
    <row r="23" ht="15.75" customHeight="1">
      <c r="A23" s="15" t="s">
        <v>37</v>
      </c>
      <c r="B23" s="16"/>
      <c r="C23" s="17" t="s">
        <v>38</v>
      </c>
      <c r="L23" s="15" t="s">
        <v>40</v>
      </c>
      <c r="M23" s="16"/>
      <c r="N23" s="17" t="s">
        <v>41</v>
      </c>
      <c r="O23" s="8" t="s">
        <v>42</v>
      </c>
    </row>
    <row r="24" ht="15.75" customHeight="1">
      <c r="A24" s="15" t="s">
        <v>40</v>
      </c>
      <c r="B24" s="16"/>
      <c r="C24" s="17" t="s">
        <v>41</v>
      </c>
      <c r="D24" s="8" t="s">
        <v>42</v>
      </c>
    </row>
    <row r="25" ht="15.75" customHeight="1"/>
    <row r="26" ht="15.75" customHeight="1">
      <c r="A26" s="12" t="s">
        <v>43</v>
      </c>
      <c r="B26" s="13"/>
      <c r="C26" s="14"/>
    </row>
    <row r="27" ht="15.75" customHeight="1">
      <c r="A27" s="15" t="s">
        <v>44</v>
      </c>
      <c r="B27" s="16"/>
      <c r="C27" s="18" t="s">
        <v>45</v>
      </c>
      <c r="D27" s="8" t="s">
        <v>42</v>
      </c>
      <c r="R27" s="19"/>
    </row>
    <row r="28" ht="15.75" customHeight="1">
      <c r="A28" s="15" t="s">
        <v>46</v>
      </c>
      <c r="B28" s="16"/>
      <c r="C28" s="18" t="s">
        <v>47</v>
      </c>
      <c r="O28" s="20"/>
    </row>
    <row r="29" ht="15.75" customHeight="1">
      <c r="A29" s="21" t="s">
        <v>48</v>
      </c>
      <c r="B29" s="22"/>
      <c r="C29" s="23"/>
      <c r="L29" s="24"/>
    </row>
    <row r="30" ht="15.75" customHeight="1"/>
    <row r="31" ht="15.75" customHeight="1">
      <c r="A31" s="12" t="s">
        <v>49</v>
      </c>
      <c r="B31" s="13"/>
      <c r="C31" s="14"/>
      <c r="E31" s="25" t="s">
        <v>50</v>
      </c>
    </row>
    <row r="32" ht="15.75" customHeight="1">
      <c r="A32" s="8" t="s">
        <v>51</v>
      </c>
      <c r="B32" s="8" t="s">
        <v>52</v>
      </c>
      <c r="C32" s="8" t="s">
        <v>53</v>
      </c>
      <c r="M32" s="26"/>
      <c r="N32" s="27"/>
      <c r="O32" s="26"/>
      <c r="P32" s="27"/>
      <c r="Q32" s="27"/>
    </row>
    <row r="33" ht="15.75" customHeight="1">
      <c r="A33" s="12" t="s">
        <v>54</v>
      </c>
      <c r="B33" s="13"/>
      <c r="C33" s="14"/>
      <c r="E33" s="28" t="s">
        <v>55</v>
      </c>
      <c r="F33" s="29"/>
      <c r="G33" s="8" t="s">
        <v>39</v>
      </c>
    </row>
    <row r="34" ht="15.75" customHeight="1">
      <c r="A34" s="30" t="s">
        <v>56</v>
      </c>
      <c r="B34" s="30" t="s">
        <v>57</v>
      </c>
      <c r="C34" s="18" t="s">
        <v>58</v>
      </c>
      <c r="M34" s="31"/>
    </row>
    <row r="35" ht="15.75" customHeight="1">
      <c r="A35" s="30" t="s">
        <v>59</v>
      </c>
      <c r="B35" s="30" t="s">
        <v>60</v>
      </c>
      <c r="C35" s="18" t="s">
        <v>61</v>
      </c>
    </row>
    <row r="36" ht="15.75" customHeight="1">
      <c r="A36" s="16"/>
      <c r="B36" s="16"/>
      <c r="C36" s="16"/>
      <c r="M36" s="10" t="s">
        <v>54</v>
      </c>
    </row>
    <row r="37" ht="15.75" customHeight="1">
      <c r="A37" s="16"/>
      <c r="B37" s="15" t="s">
        <v>62</v>
      </c>
      <c r="C37" s="18" t="s">
        <v>63</v>
      </c>
      <c r="D37" s="8" t="s">
        <v>42</v>
      </c>
      <c r="E37" s="11" t="str">
        <f>IF(E33&gt;C23,"Ok","Increase Reinforcement")</f>
        <v>Increase Reinforcement</v>
      </c>
      <c r="M37" s="32" t="s">
        <v>64</v>
      </c>
      <c r="N37" s="32" t="s">
        <v>65</v>
      </c>
      <c r="O37" s="18" t="s">
        <v>66</v>
      </c>
    </row>
    <row r="38" ht="15.75" customHeight="1">
      <c r="M38" s="32" t="s">
        <v>67</v>
      </c>
      <c r="N38" s="32" t="s">
        <v>68</v>
      </c>
      <c r="O38" s="18" t="s">
        <v>69</v>
      </c>
    </row>
    <row r="39" ht="15.75" customHeight="1">
      <c r="A39" s="33" t="s">
        <v>70</v>
      </c>
      <c r="B39" s="13"/>
      <c r="C39" s="14"/>
      <c r="M39" s="16"/>
      <c r="N39" s="16"/>
      <c r="O39" s="16"/>
    </row>
    <row r="40" ht="15.75" customHeight="1">
      <c r="A40" s="15" t="s">
        <v>71</v>
      </c>
      <c r="B40" s="18" t="s">
        <v>72</v>
      </c>
      <c r="C40" s="15" t="s">
        <v>11</v>
      </c>
      <c r="M40" s="16"/>
      <c r="N40" s="15" t="s">
        <v>62</v>
      </c>
      <c r="O40" s="18"/>
      <c r="P40" s="8" t="s">
        <v>42</v>
      </c>
    </row>
    <row r="41" ht="15.75" customHeight="1">
      <c r="A41" s="15" t="s">
        <v>73</v>
      </c>
      <c r="B41" s="18" t="s">
        <v>74</v>
      </c>
      <c r="C41" s="15" t="s">
        <v>11</v>
      </c>
    </row>
    <row r="42" ht="15.75" customHeight="1">
      <c r="A42" s="34" t="s">
        <v>75</v>
      </c>
      <c r="B42" s="35" t="s">
        <v>76</v>
      </c>
      <c r="C42" s="34" t="s">
        <v>11</v>
      </c>
    </row>
    <row r="43" ht="15.75" customHeight="1"/>
    <row r="44" ht="15.75" customHeight="1"/>
    <row r="45" ht="15.75" customHeight="1">
      <c r="A45" s="12" t="s">
        <v>77</v>
      </c>
      <c r="B45" s="13"/>
      <c r="C45" s="14"/>
    </row>
    <row r="46" ht="15.75" customHeight="1">
      <c r="A46" s="36" t="str">
        <f>IF(C15&gt;=750,"SIDE FACE REINFORCEMEMNT REQUIRE","NOT REQUIRE")</f>
        <v>SIDE FACE REINFORCEMEMNT REQUIRE</v>
      </c>
      <c r="B46" s="13"/>
      <c r="C46" s="14"/>
    </row>
    <row r="47" ht="15.75" customHeight="1">
      <c r="A47" s="15" t="s">
        <v>78</v>
      </c>
      <c r="B47" s="18" t="s">
        <v>20</v>
      </c>
      <c r="C47" s="15" t="s">
        <v>42</v>
      </c>
    </row>
    <row r="48" ht="15.75" customHeight="1">
      <c r="A48" s="15" t="s">
        <v>79</v>
      </c>
      <c r="B48" s="18" t="s">
        <v>22</v>
      </c>
      <c r="C48" s="15" t="s">
        <v>42</v>
      </c>
    </row>
    <row r="49" ht="15.75" customHeight="1">
      <c r="A49" s="15" t="s">
        <v>80</v>
      </c>
      <c r="B49" s="18" t="s">
        <v>81</v>
      </c>
      <c r="C49" s="15" t="s">
        <v>42</v>
      </c>
    </row>
    <row r="50" ht="15.75" customHeight="1">
      <c r="A50" s="15" t="s">
        <v>82</v>
      </c>
      <c r="B50" s="18" t="s">
        <v>83</v>
      </c>
      <c r="C50" s="15" t="s">
        <v>42</v>
      </c>
    </row>
    <row r="51" ht="15.75" customHeight="1"/>
    <row r="52" ht="15.75" customHeight="1">
      <c r="A52" s="12" t="s">
        <v>84</v>
      </c>
      <c r="B52" s="13"/>
      <c r="C52" s="14"/>
    </row>
    <row r="53" ht="15.75" customHeight="1">
      <c r="A53" s="8" t="s">
        <v>51</v>
      </c>
      <c r="B53" s="8" t="s">
        <v>52</v>
      </c>
      <c r="C53" s="8" t="s">
        <v>53</v>
      </c>
      <c r="D53" s="8" t="s">
        <v>42</v>
      </c>
      <c r="E53" s="11" t="str">
        <f>IF(C54&gt;B50,"OK","INCREASE REINFORCEMENT")</f>
        <v>INCREASE REINFORCEMENT</v>
      </c>
    </row>
    <row r="54" ht="15.75" customHeight="1">
      <c r="A54" s="30" t="s">
        <v>85</v>
      </c>
      <c r="B54" s="30" t="s">
        <v>86</v>
      </c>
      <c r="C54" s="18" t="s">
        <v>87</v>
      </c>
    </row>
    <row r="55" ht="15.75" customHeight="1"/>
    <row r="56" ht="15.75" customHeight="1">
      <c r="A56" s="33" t="s">
        <v>88</v>
      </c>
      <c r="B56" s="13"/>
      <c r="C56" s="14"/>
    </row>
    <row r="57" ht="15.75" customHeight="1"/>
    <row r="58" ht="15.75" customHeight="1">
      <c r="A58" s="15" t="s">
        <v>89</v>
      </c>
      <c r="B58" s="18" t="s">
        <v>90</v>
      </c>
      <c r="C58" s="8" t="s">
        <v>91</v>
      </c>
    </row>
    <row r="59" ht="15.75" customHeight="1">
      <c r="A59" s="15" t="s">
        <v>92</v>
      </c>
      <c r="B59" s="18" t="s">
        <v>93</v>
      </c>
      <c r="C59" s="8" t="s">
        <v>94</v>
      </c>
    </row>
    <row r="60" ht="15.75" customHeight="1">
      <c r="A60" s="15" t="s">
        <v>95</v>
      </c>
      <c r="B60" s="18" t="s">
        <v>96</v>
      </c>
      <c r="C60" s="8" t="s">
        <v>94</v>
      </c>
    </row>
    <row r="61" ht="15.75" customHeight="1">
      <c r="A61" s="15" t="s">
        <v>97</v>
      </c>
      <c r="B61" s="18" t="s">
        <v>98</v>
      </c>
      <c r="C61" s="8" t="s">
        <v>42</v>
      </c>
    </row>
    <row r="62" ht="15.75" customHeight="1">
      <c r="A62" s="15" t="s">
        <v>99</v>
      </c>
      <c r="B62" s="18" t="s">
        <v>100</v>
      </c>
    </row>
    <row r="63" ht="15.75" customHeight="1"/>
    <row r="64" ht="15.75" customHeight="1">
      <c r="A64" s="3" t="s">
        <v>101</v>
      </c>
      <c r="B64" s="30" t="s">
        <v>102</v>
      </c>
      <c r="C64" s="30" t="s">
        <v>103</v>
      </c>
    </row>
    <row r="65" ht="15.75" customHeight="1">
      <c r="A65" s="3" t="s">
        <v>101</v>
      </c>
      <c r="B65" s="30" t="s">
        <v>104</v>
      </c>
      <c r="C65" s="30" t="s">
        <v>105</v>
      </c>
    </row>
    <row r="66" ht="15.75" customHeight="1">
      <c r="A66" s="34" t="s">
        <v>106</v>
      </c>
      <c r="B66" s="35" t="s">
        <v>107</v>
      </c>
      <c r="C66" s="34" t="s">
        <v>94</v>
      </c>
    </row>
    <row r="67" ht="30.0" customHeight="1">
      <c r="A67" s="37" t="s">
        <v>108</v>
      </c>
    </row>
    <row r="68" ht="15.75" customHeight="1">
      <c r="A68" s="38" t="str">
        <f>IF(B59&gt;B66,"tv&gt;tc SHEAR REINFORCEMENT DESIGN","PROVIDE MINIMUM REINFORCEMENT AS PER CODE")</f>
        <v>tv&gt;tc SHEAR REINFORCEMENT DESIGN</v>
      </c>
      <c r="B68" s="39"/>
      <c r="C68" s="29"/>
    </row>
    <row r="69" ht="15.75" customHeight="1"/>
    <row r="70" ht="15.75" customHeight="1">
      <c r="A70" s="15" t="s">
        <v>109</v>
      </c>
      <c r="B70" s="18" t="s">
        <v>110</v>
      </c>
      <c r="C70" s="8" t="s">
        <v>91</v>
      </c>
    </row>
    <row r="71" ht="27.75" customHeight="1">
      <c r="A71" s="37" t="s">
        <v>111</v>
      </c>
    </row>
    <row r="72" ht="15.75" customHeight="1">
      <c r="A72" s="33" t="s">
        <v>112</v>
      </c>
      <c r="B72" s="14"/>
    </row>
    <row r="73" ht="15.75" customHeight="1">
      <c r="A73" s="15" t="s">
        <v>113</v>
      </c>
      <c r="B73" s="18" t="s">
        <v>114</v>
      </c>
    </row>
    <row r="74" ht="15.75" customHeight="1">
      <c r="A74" s="15" t="s">
        <v>115</v>
      </c>
      <c r="B74" s="18" t="s">
        <v>116</v>
      </c>
    </row>
    <row r="75" ht="15.75" customHeight="1">
      <c r="A75" s="15" t="s">
        <v>117</v>
      </c>
      <c r="B75" s="18" t="s">
        <v>118</v>
      </c>
      <c r="C75" s="8" t="s">
        <v>42</v>
      </c>
    </row>
    <row r="76" ht="15.75" customHeight="1"/>
    <row r="77" ht="15.75" customHeight="1">
      <c r="A77" s="37" t="s">
        <v>119</v>
      </c>
    </row>
    <row r="78" ht="15.75" customHeight="1">
      <c r="A78" s="15" t="s">
        <v>120</v>
      </c>
      <c r="B78" s="18" t="s">
        <v>121</v>
      </c>
      <c r="C78" s="8" t="s">
        <v>91</v>
      </c>
    </row>
    <row r="79" ht="15.75" customHeight="1"/>
    <row r="80" ht="15.75" customHeight="1">
      <c r="A80" s="8" t="s">
        <v>122</v>
      </c>
    </row>
    <row r="81" ht="15.75" customHeight="1">
      <c r="A81" s="15" t="s">
        <v>123</v>
      </c>
      <c r="B81" s="18" t="s">
        <v>124</v>
      </c>
      <c r="C81" s="8" t="s">
        <v>91</v>
      </c>
      <c r="D81" s="11" t="str">
        <f>IF(B81&gt;B78,"OK", "INCREASE SHERA REINFORCEMENT")</f>
        <v>OK</v>
      </c>
    </row>
    <row r="82" ht="15.75" customHeight="1"/>
    <row r="83" ht="15.75" customHeight="1">
      <c r="A83" s="15" t="s">
        <v>125</v>
      </c>
      <c r="B83" s="18" t="s">
        <v>126</v>
      </c>
      <c r="C83" s="8" t="s">
        <v>11</v>
      </c>
    </row>
    <row r="84" ht="15.75" customHeight="1"/>
    <row r="85" ht="15.75" customHeight="1">
      <c r="A85" s="40" t="s">
        <v>127</v>
      </c>
      <c r="B85" s="14"/>
    </row>
    <row r="86" ht="15.75" customHeight="1">
      <c r="A86" s="15" t="s">
        <v>128</v>
      </c>
      <c r="B86" s="18" t="s">
        <v>129</v>
      </c>
      <c r="C86" s="8" t="s">
        <v>11</v>
      </c>
    </row>
    <row r="87" ht="15.75" customHeight="1">
      <c r="A87" s="15" t="s">
        <v>130</v>
      </c>
      <c r="B87" s="18" t="s">
        <v>131</v>
      </c>
      <c r="C87" s="8" t="s">
        <v>11</v>
      </c>
    </row>
    <row r="88" ht="15.75" customHeight="1">
      <c r="A88" s="15" t="s">
        <v>132</v>
      </c>
      <c r="B88" s="15" t="s">
        <v>132</v>
      </c>
      <c r="C88" s="8" t="s">
        <v>11</v>
      </c>
    </row>
    <row r="89" ht="15.75" customHeight="1"/>
    <row r="90" ht="15.75" customHeight="1">
      <c r="A90" s="15" t="s">
        <v>133</v>
      </c>
      <c r="B90" s="35" t="s">
        <v>134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67:C67"/>
    <mergeCell ref="A68:C68"/>
    <mergeCell ref="A71:B71"/>
    <mergeCell ref="A72:B72"/>
    <mergeCell ref="A77:B77"/>
    <mergeCell ref="A85:B85"/>
    <mergeCell ref="A33:C33"/>
    <mergeCell ref="E33:F33"/>
    <mergeCell ref="A39:C39"/>
    <mergeCell ref="A45:C45"/>
    <mergeCell ref="A46:C46"/>
    <mergeCell ref="A52:C52"/>
    <mergeCell ref="A56:C56"/>
    <mergeCell ref="M32:N32"/>
    <mergeCell ref="O32:Q32"/>
    <mergeCell ref="M34:Q34"/>
    <mergeCell ref="A8:E8"/>
    <mergeCell ref="L8:P8"/>
    <mergeCell ref="A22:C22"/>
    <mergeCell ref="A26:C26"/>
    <mergeCell ref="A29:C29"/>
    <mergeCell ref="A31:C31"/>
    <mergeCell ref="E31:F31"/>
  </mergeCells>
  <printOptions/>
  <pageMargins bottom="1.0" footer="0.0" header="0.0" left="0.75" right="0.75" top="1.0"/>
  <pageSetup orientation="landscape"/>
  <drawing r:id="rId1"/>
</worksheet>
</file>